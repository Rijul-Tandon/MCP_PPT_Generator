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procdna.sharepoint.com/sites/DataScience/Shared Documents/General/31_Arcutis_Referral_Network_Analysis/Technical Analysis/"/>
    </mc:Choice>
  </mc:AlternateContent>
  <xr:revisionPtr revIDLastSave="1230" documentId="11_F3118074EC214445A8EE8F81F158A1A93CC09A29" xr6:coauthVersionLast="47" xr6:coauthVersionMax="47" xr10:uidLastSave="{DE6B33A2-EB74-4943-A461-F73E9F7DC8A5}"/>
  <bookViews>
    <workbookView xWindow="-45" yWindow="-16320" windowWidth="29040" windowHeight="15720" activeTab="3" xr2:uid="{00000000-000D-0000-FFFF-FFFF00000000}"/>
  </bookViews>
  <sheets>
    <sheet name="Problem Statement Breakdown" sheetId="1" r:id="rId1"/>
    <sheet name="Steps" sheetId="6" r:id="rId2"/>
    <sheet name="Stable Patients finalization" sheetId="7" r:id="rId3"/>
    <sheet name="Referrals Grid" sheetId="4" r:id="rId4"/>
    <sheet name="Execution Logs" sheetId="8" r:id="rId5"/>
    <sheet name="Appendix" sheetId="5" r:id="rId6"/>
    <sheet name="Sheet2" sheetId="2" r:id="rId7"/>
    <sheet name="Sheet1" sheetId="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8" l="1"/>
  <c r="D11" i="7"/>
  <c r="D17" i="7"/>
</calcChain>
</file>

<file path=xl/sharedStrings.xml><?xml version="1.0" encoding="utf-8"?>
<sst xmlns="http://schemas.openxmlformats.org/spreadsheetml/2006/main" count="332" uniqueCount="279">
  <si>
    <t>PCPs and Peds assessment: Identify relevant PCPs and Peds based on prescribing volume, call activity and geographic distance from Derm practice setting</t>
  </si>
  <si>
    <t>Initial HCP Universe ~500K HCPs</t>
  </si>
  <si>
    <t>-Nishant</t>
  </si>
  <si>
    <t>Valuation and prioritization: Run a HCP valuation framework to better assess the large PCP and PED universe and inform initial prioritization</t>
  </si>
  <si>
    <t>Priortized General Practitioners list  ~100 - 150 K  HCPs</t>
  </si>
  <si>
    <t>Understand true real-world patient flow across referral pathways</t>
  </si>
  <si>
    <t>Any existing understanding around referrals in ZORYVE market?</t>
  </si>
  <si>
    <t>Identify Patient Cohort</t>
  </si>
  <si>
    <t>HCP Universe</t>
  </si>
  <si>
    <t>Patient Level Claims to be considered</t>
  </si>
  <si>
    <t>Referral Grid Creation</t>
  </si>
  <si>
    <t>Referral Data Creation</t>
  </si>
  <si>
    <t>Outputs</t>
  </si>
  <si>
    <t>HCP - HCP Referral Information</t>
  </si>
  <si>
    <t>DS Models</t>
  </si>
  <si>
    <t>HCP Attribute</t>
  </si>
  <si>
    <t>Patient Level Data</t>
  </si>
  <si>
    <t>HIDE</t>
  </si>
  <si>
    <r>
      <t xml:space="preserve">Uncover </t>
    </r>
    <r>
      <rPr>
        <b/>
        <sz val="11"/>
        <color rgb="FF00B050"/>
        <rFont val="Calibri"/>
        <family val="2"/>
        <scheme val="minor"/>
      </rPr>
      <t>real-world referral pathways</t>
    </r>
    <r>
      <rPr>
        <sz val="11"/>
        <color theme="1"/>
        <rFont val="Calibri"/>
        <family val="2"/>
        <scheme val="minor"/>
      </rPr>
      <t xml:space="preserve"> and </t>
    </r>
    <r>
      <rPr>
        <sz val="11"/>
        <color rgb="FFFF0000"/>
        <rFont val="Calibri"/>
        <family val="2"/>
        <scheme val="minor"/>
      </rPr>
      <t>system bottlenecks</t>
    </r>
  </si>
  <si>
    <r>
      <rPr>
        <sz val="11"/>
        <color rgb="FF00B050"/>
        <rFont val="Calibri"/>
        <family val="2"/>
        <scheme val="minor"/>
      </rPr>
      <t>Referral Pathways would be an output</t>
    </r>
    <r>
      <rPr>
        <sz val="11"/>
        <color theme="1"/>
        <rFont val="Calibri"/>
        <family val="2"/>
        <scheme val="minor"/>
      </rPr>
      <t xml:space="preserve">. What about </t>
    </r>
    <r>
      <rPr>
        <i/>
        <sz val="11"/>
        <color rgb="FFFF0000"/>
        <rFont val="Calibri"/>
        <family val="2"/>
        <scheme val="minor"/>
      </rPr>
      <t>System Bottlenecks?</t>
    </r>
  </si>
  <si>
    <r>
      <t xml:space="preserve">Unlike the work we did in Takeda, where Referrals were absolutely necessary for patients to get efficient diagnosis, I don`t think an HCP </t>
    </r>
    <r>
      <rPr>
        <b/>
        <sz val="11"/>
        <color theme="1"/>
        <rFont val="Calibri"/>
        <family val="2"/>
        <scheme val="minor"/>
      </rPr>
      <t xml:space="preserve">not </t>
    </r>
    <r>
      <rPr>
        <sz val="11"/>
        <color theme="1"/>
        <rFont val="Calibri"/>
        <family val="2"/>
        <scheme val="minor"/>
      </rPr>
      <t xml:space="preserve">referring for treatment can be penalized and called a bottleneck. Using Analytics bottlenecks could be GPs not referring out </t>
    </r>
    <r>
      <rPr>
        <b/>
        <sz val="11"/>
        <color theme="1"/>
        <rFont val="Calibri"/>
        <family val="2"/>
        <scheme val="minor"/>
      </rPr>
      <t xml:space="preserve">AND </t>
    </r>
    <r>
      <rPr>
        <sz val="11"/>
        <color theme="1"/>
        <rFont val="Calibri"/>
        <family val="2"/>
        <scheme val="minor"/>
      </rPr>
      <t xml:space="preserve">not </t>
    </r>
    <r>
      <rPr>
        <b/>
        <sz val="11"/>
        <color theme="1"/>
        <rFont val="Calibri"/>
        <family val="2"/>
        <scheme val="minor"/>
      </rPr>
      <t>efficiently managing patients</t>
    </r>
  </si>
  <si>
    <t>Define what efficient treatment means here</t>
  </si>
  <si>
    <r>
      <t xml:space="preserve">Understand how HCPs interact, </t>
    </r>
    <r>
      <rPr>
        <b/>
        <sz val="11"/>
        <color rgb="FF002060"/>
        <rFont val="Calibri"/>
        <family val="2"/>
        <scheme val="minor"/>
      </rPr>
      <t>co-manage patients</t>
    </r>
    <r>
      <rPr>
        <sz val="11"/>
        <color theme="1"/>
        <rFont val="Calibri"/>
        <family val="2"/>
        <scheme val="minor"/>
      </rPr>
      <t>, and influence decisions</t>
    </r>
  </si>
  <si>
    <t>Data cuts around referrals : Using DOT overlaps</t>
  </si>
  <si>
    <t>Understand the referral path from PCP to Derm</t>
  </si>
  <si>
    <t>Again output from the referral network: Speciality wise, Duration wise, Type of Drug wise</t>
  </si>
  <si>
    <t>How many patients do we see going from PCP to Derm?</t>
  </si>
  <si>
    <t>Again output from the referral network: Simple Data cut</t>
  </si>
  <si>
    <t>How many are going for refill only?</t>
  </si>
  <si>
    <t>Again output from the referral network</t>
  </si>
  <si>
    <t>Who are the current top referrals, and what can we learn from them?</t>
  </si>
  <si>
    <t>Profiling Top Referral Pairs: Speciality, Practice Type, where they refer</t>
  </si>
  <si>
    <t>Pinpoints referral leakage</t>
  </si>
  <si>
    <r>
      <t xml:space="preserve">Identify high-impact influencing HCPs: Surface key connectors, influencers, and </t>
    </r>
    <r>
      <rPr>
        <b/>
        <sz val="11"/>
        <color rgb="FF7030A0"/>
        <rFont val="Calibri"/>
        <family val="2"/>
        <scheme val="minor"/>
      </rPr>
      <t>gatekeepers</t>
    </r>
  </si>
  <si>
    <t>Pure DS: Treaters, Influencers, Bridgers, Referrers, Referrees</t>
  </si>
  <si>
    <t>high patient count, low rx - branded, low outward referrals</t>
  </si>
  <si>
    <t>Enhance customer segmentation and targeting through both personal and non-personal channels</t>
  </si>
  <si>
    <t>-</t>
  </si>
  <si>
    <t>Email from Aymen</t>
  </si>
  <si>
    <t>We also have a need to understand the referral path from PCP to Derm so that we can recruit right speakers from Derms to influence the PCPs</t>
  </si>
  <si>
    <t>Treaters, Influencers - Derms (95 - 100%), GPs (~ 0-5%)</t>
  </si>
  <si>
    <t>Derms - connected with PCPs!</t>
  </si>
  <si>
    <t>Need to understand the patient journey from PCP to Derm. How many patients do we see going from PCP to Derm? How many are going for refill only?</t>
  </si>
  <si>
    <t>Geotagging</t>
  </si>
  <si>
    <t>Physical proximity</t>
  </si>
  <si>
    <t xml:space="preserve">Isolated nodes </t>
  </si>
  <si>
    <t>We need to further explore the HS and Vitiligo data in XPO. Need to understand what does the market look like, top products, top prescribers, geographic concentration, writing behavior, practice location, etc. ?</t>
  </si>
  <si>
    <t>a. Before starting the analysis, if this data is available from a different dataset from the custom XPO indication level data. If it is, then hold off on the analysis.</t>
  </si>
  <si>
    <t xml:space="preserve">Get Top HCPs First: </t>
  </si>
  <si>
    <t>Treaters</t>
  </si>
  <si>
    <t>Derms</t>
  </si>
  <si>
    <t>Bridgers</t>
  </si>
  <si>
    <r>
      <t xml:space="preserve">Then see which GPs are influenced by these </t>
    </r>
    <r>
      <rPr>
        <b/>
        <i/>
        <sz val="11"/>
        <color theme="1"/>
        <rFont val="Calibri"/>
        <family val="2"/>
        <scheme val="minor"/>
      </rPr>
      <t>Top Derms.</t>
    </r>
  </si>
  <si>
    <t>Others</t>
  </si>
  <si>
    <t>Influencers</t>
  </si>
  <si>
    <t>Referrees</t>
  </si>
  <si>
    <t>Phase 2</t>
  </si>
  <si>
    <t>Referrers</t>
  </si>
  <si>
    <t>End June</t>
  </si>
  <si>
    <t>Data by 21st May, Thursday</t>
  </si>
  <si>
    <t>Scoring model execution: Derm</t>
  </si>
  <si>
    <t>Estimated n count?</t>
  </si>
  <si>
    <t>Influence runs first, cascading into</t>
  </si>
  <si>
    <t>PCP/Ped Priority</t>
  </si>
  <si>
    <t>What is the underlying Hypothesis of doing this? Like PCPs who are influenced by Top Derms are needed to be targeted?</t>
  </si>
  <si>
    <r>
      <t xml:space="preserve">For something like holistic activation or efficiency of </t>
    </r>
    <r>
      <rPr>
        <b/>
        <sz val="11"/>
        <color rgb="FF7030A0"/>
        <rFont val="Calibri"/>
        <family val="2"/>
        <scheme val="minor"/>
      </rPr>
      <t>dedicated speaker program</t>
    </r>
    <r>
      <rPr>
        <sz val="11"/>
        <color theme="1"/>
        <rFont val="Calibri"/>
        <family val="2"/>
        <scheme val="minor"/>
      </rPr>
      <t>?</t>
    </r>
  </si>
  <si>
    <t>Build Dermatologist Influence Score</t>
  </si>
  <si>
    <t>Prioritized Derm speakers</t>
  </si>
  <si>
    <t>PsO</t>
  </si>
  <si>
    <t>High-value PCP/Ped targets</t>
  </si>
  <si>
    <t>5 year</t>
  </si>
  <si>
    <t>SebD</t>
  </si>
  <si>
    <t>Patient journye</t>
  </si>
  <si>
    <t>AD</t>
  </si>
  <si>
    <t>relevant patient pool</t>
  </si>
  <si>
    <t>Patient Funnel</t>
  </si>
  <si>
    <t>3year</t>
  </si>
  <si>
    <t>products</t>
  </si>
  <si>
    <t>Rules</t>
  </si>
  <si>
    <t>2year</t>
  </si>
  <si>
    <t>1year</t>
  </si>
  <si>
    <t>Referral Journey</t>
  </si>
  <si>
    <t>Inferences</t>
  </si>
  <si>
    <r>
      <t xml:space="preserve">1. Referrals like Derm to Immuno for </t>
    </r>
    <r>
      <rPr>
        <b/>
        <sz val="11"/>
        <color rgb="FF7030A0"/>
        <rFont val="Calibri"/>
        <family val="2"/>
        <scheme val="minor"/>
      </rPr>
      <t>Biologics</t>
    </r>
    <r>
      <rPr>
        <sz val="11"/>
        <color theme="1"/>
        <rFont val="Calibri"/>
        <family val="2"/>
        <scheme val="minor"/>
      </rPr>
      <t xml:space="preserve"> should not be considered</t>
    </r>
  </si>
  <si>
    <t>2. On the contrary - If an immuno refers the patient to a Derm / PCP for management with Systemic then that can be considered</t>
  </si>
  <si>
    <r>
      <t xml:space="preserve">3. Referral Grid should estabilish Treatment escalation from (ZORYVE and its direct competitors) to </t>
    </r>
    <r>
      <rPr>
        <b/>
        <sz val="11"/>
        <color theme="1"/>
        <rFont val="Calibri"/>
        <family val="2"/>
        <scheme val="minor"/>
      </rPr>
      <t xml:space="preserve">Advanced Therapies </t>
    </r>
    <r>
      <rPr>
        <sz val="11"/>
        <color theme="1"/>
        <rFont val="Calibri"/>
        <family val="2"/>
        <scheme val="minor"/>
      </rPr>
      <t>as</t>
    </r>
    <r>
      <rPr>
        <b/>
        <sz val="11"/>
        <color theme="1"/>
        <rFont val="Calibri"/>
        <family val="2"/>
        <scheme val="minor"/>
      </rPr>
      <t xml:space="preserve"> NON Referrals</t>
    </r>
  </si>
  <si>
    <t>Common pathway:</t>
  </si>
  <si>
    <t>PCP/Pediatrician</t>
  </si>
  <si>
    <t>→ Dermatologist</t>
  </si>
  <si>
    <t>→ Allergist/Immunologist (sometimes)</t>
  </si>
  <si>
    <t>For Biologics</t>
  </si>
  <si>
    <t>Severe AD often needs specialty escalation.</t>
  </si>
  <si>
    <t>Mostly managed by:</t>
  </si>
  <si>
    <t>PCP</t>
  </si>
  <si>
    <t>dermatologist</t>
  </si>
  <si>
    <t>Rarely escalates.</t>
  </si>
  <si>
    <t>Psoriasis</t>
  </si>
  <si>
    <t>Can involve:</t>
  </si>
  <si>
    <t>rheumatologist</t>
  </si>
  <si>
    <t xml:space="preserve">For Biologics </t>
  </si>
  <si>
    <t>Especially if arthritis develops.</t>
  </si>
  <si>
    <t>Type of referrals we might see</t>
  </si>
  <si>
    <t>Referring Specialty</t>
  </si>
  <si>
    <t>Receiving Specialty</t>
  </si>
  <si>
    <t>Why</t>
  </si>
  <si>
    <t>PCP/GP</t>
  </si>
  <si>
    <t>Dermatology</t>
  </si>
  <si>
    <t>persistent disease</t>
  </si>
  <si>
    <t>Pediatrician</t>
  </si>
  <si>
    <t>moderate-severe pediatric AD</t>
  </si>
  <si>
    <t>Allergy/Immunology</t>
  </si>
  <si>
    <t>atopy/allergen evaluation</t>
  </si>
  <si>
    <t>Ophthalmology</t>
  </si>
  <si>
    <t>dupilumab eye complications</t>
  </si>
  <si>
    <t>Psychiatry/Psychology</t>
  </si>
  <si>
    <t>anxiety/depression/sleep</t>
  </si>
  <si>
    <t>Pulmonology</t>
  </si>
  <si>
    <t>asthma overlap</t>
  </si>
  <si>
    <t>skin diagnosis/treatment</t>
  </si>
  <si>
    <t>Rheumatology</t>
  </si>
  <si>
    <t>suspected PsA</t>
  </si>
  <si>
    <t>cutaneous disease</t>
  </si>
  <si>
    <t>Cardiology/Internal Med</t>
  </si>
  <si>
    <t>cardiometabolic risk</t>
  </si>
  <si>
    <t>Gastroenterology</t>
  </si>
  <si>
    <t>IBD overlap</t>
  </si>
  <si>
    <t>Sample Referral Grid</t>
  </si>
  <si>
    <t>Same Treatment</t>
  </si>
  <si>
    <t>NP/PA to Derm</t>
  </si>
  <si>
    <t>Derm to PCP</t>
  </si>
  <si>
    <t>Derm to Pediatric</t>
  </si>
  <si>
    <t>Derm to Derm</t>
  </si>
  <si>
    <t>PCP to PCP</t>
  </si>
  <si>
    <t>PCP to Pediatrics</t>
  </si>
  <si>
    <t>Pediatrics to Pediactrics</t>
  </si>
  <si>
    <t>Patient Cohort</t>
  </si>
  <si>
    <t>21-25 Incident Patient on AD, SebD and PsO</t>
  </si>
  <si>
    <t>Market Basket Selection</t>
  </si>
  <si>
    <t>Treatment</t>
  </si>
  <si>
    <t xml:space="preserve">Look Back from 1st PsO / AD / SebD might not be relevant - </t>
  </si>
  <si>
    <t>Diagnosis</t>
  </si>
  <si>
    <r>
      <t xml:space="preserve">We can safely keep AD, SebD and PsO Dx codes; As </t>
    </r>
    <r>
      <rPr>
        <b/>
        <i/>
        <sz val="11"/>
        <color theme="1"/>
        <rFont val="Calibri"/>
        <family val="2"/>
        <scheme val="minor"/>
      </rPr>
      <t xml:space="preserve">misdiagnosis </t>
    </r>
    <r>
      <rPr>
        <i/>
        <sz val="11"/>
        <color theme="1"/>
        <rFont val="Calibri"/>
        <family val="2"/>
        <scheme val="minor"/>
      </rPr>
      <t>is not a problem here</t>
    </r>
  </si>
  <si>
    <t>Procedures  / Tests</t>
  </si>
  <si>
    <t>Not relevant for the market - Rishab</t>
  </si>
  <si>
    <t>Look Forward / Look Back decision</t>
  </si>
  <si>
    <t>Anchor point - (1st AD / SebD / PsO diagnosis)</t>
  </si>
  <si>
    <t>Look Forward Journey - All</t>
  </si>
  <si>
    <t>Look Back - Just want to capture immediate referral to 1st Time Diagnoser</t>
  </si>
  <si>
    <t>Sufficient Look Forward Filter:  Look Forward Journey available for &gt;= 1 Year</t>
  </si>
  <si>
    <t>P1</t>
  </si>
  <si>
    <t>P2</t>
  </si>
  <si>
    <t>Patient Stability Criteria</t>
  </si>
  <si>
    <t>P3</t>
  </si>
  <si>
    <t>No of Interactions in Forward Looking Journey - Data Cut</t>
  </si>
  <si>
    <t>Referral Grid</t>
  </si>
  <si>
    <r>
      <t>Define Patient Exchanges between HCPs which are to be "</t>
    </r>
    <r>
      <rPr>
        <b/>
        <i/>
        <sz val="11"/>
        <color theme="1"/>
        <rFont val="Calibri"/>
        <family val="2"/>
        <scheme val="minor"/>
      </rPr>
      <t>Called</t>
    </r>
    <r>
      <rPr>
        <i/>
        <sz val="11"/>
        <color theme="1"/>
        <rFont val="Calibri"/>
        <family val="2"/>
        <scheme val="minor"/>
      </rPr>
      <t>" a referral</t>
    </r>
  </si>
  <si>
    <t>Referral Cleanups</t>
  </si>
  <si>
    <t>Clean-Ups to be applied - For ex: #Patients &gt; 1</t>
  </si>
  <si>
    <t>Referral Network</t>
  </si>
  <si>
    <t>Data Requirement</t>
  </si>
  <si>
    <t>Patient Cohort - Claims Data</t>
  </si>
  <si>
    <t>Decision point</t>
  </si>
  <si>
    <t>This represents the set of patients whose data will be considered in referral analytics project</t>
  </si>
  <si>
    <t>HCP- HCO  Affiliation, ZIP, Territory, Demographic, Parent account, Corporate account</t>
  </si>
  <si>
    <t>Data Pull</t>
  </si>
  <si>
    <t>Patient level</t>
  </si>
  <si>
    <t>Market Basket</t>
  </si>
  <si>
    <t>Relevant diagnosis codes</t>
  </si>
  <si>
    <t>ICD, NDC and CPT</t>
  </si>
  <si>
    <t>1st Alignment</t>
  </si>
  <si>
    <t xml:space="preserve">2nd Alignment </t>
  </si>
  <si>
    <t>Filtered Patients</t>
  </si>
  <si>
    <t>patients journey entire</t>
  </si>
  <si>
    <t>Dx not for 50%</t>
  </si>
  <si>
    <t>laad has 50% capture</t>
  </si>
  <si>
    <t>Full Journey</t>
  </si>
  <si>
    <t>1st symptom onset -&gt; Treatment</t>
  </si>
  <si>
    <t>Lab data</t>
  </si>
  <si>
    <t xml:space="preserve">Zor. -&gt; </t>
  </si>
  <si>
    <t xml:space="preserve">TA - 50%, important journey, </t>
  </si>
  <si>
    <t>distinct product - No of patients - no of claims</t>
  </si>
  <si>
    <t>Assessment of referrals</t>
  </si>
  <si>
    <t>Specialty Change Scenario</t>
  </si>
  <si>
    <t>Treatment Change</t>
  </si>
  <si>
    <t>Tier Upgrade</t>
  </si>
  <si>
    <t>Tier Downgrade</t>
  </si>
  <si>
    <t>Same Tier Same Spec</t>
  </si>
  <si>
    <t>Same Tier Different Spec</t>
  </si>
  <si>
    <t>Treatment Initiation</t>
  </si>
  <si>
    <t>* Non Biologic</t>
  </si>
  <si>
    <t>* Next Treatment is Non Biologic</t>
  </si>
  <si>
    <t>Repeated Pso, AD, SebD Dx</t>
  </si>
  <si>
    <t>First Pso, AD, SebD Dx</t>
  </si>
  <si>
    <r>
      <rPr>
        <b/>
        <sz val="11"/>
        <color rgb="FF00B050"/>
        <rFont val="Calibri"/>
        <family val="2"/>
        <scheme val="minor"/>
      </rPr>
      <t>0</t>
    </r>
    <r>
      <rPr>
        <sz val="11"/>
        <color theme="1"/>
        <rFont val="Calibri"/>
        <family val="2"/>
        <scheme val="minor"/>
      </rPr>
      <t xml:space="preserve"> / 1</t>
    </r>
  </si>
  <si>
    <t>Derm to NP/PA</t>
  </si>
  <si>
    <t>Pediatrics to PCP</t>
  </si>
  <si>
    <t>PCP to NP/PA</t>
  </si>
  <si>
    <t>NP/PA to PCP</t>
  </si>
  <si>
    <t>Pediatric to NP/PA</t>
  </si>
  <si>
    <t>NP/PA to Pediatric</t>
  </si>
  <si>
    <t>NP/PA to NP/PA</t>
  </si>
  <si>
    <t>PCP / Pediatric to Derm</t>
  </si>
  <si>
    <t>Saavedra J, Boguniewicz M, Chamlin S ...</t>
  </si>
  <si>
    <t>Patterns of Clinical Management of Atopic Dermatitis in Infants and Toddlers: A Survey of Three Physician Specialties in the United States</t>
  </si>
  <si>
    <t>The Journal of Pediatrics, 2013; 163, 1747-1753</t>
  </si>
  <si>
    <t>Referrals Research Paper</t>
  </si>
  <si>
    <t>0 / 1</t>
  </si>
  <si>
    <t>Referring HCP, Rendering HCP, Patient ID, Fill Date, Dx_Flag, Tx_Flag, Dx, Tx</t>
  </si>
  <si>
    <r>
      <rPr>
        <b/>
        <sz val="11"/>
        <color rgb="FF00B050"/>
        <rFont val="Calibri"/>
        <family val="2"/>
        <scheme val="minor"/>
      </rPr>
      <t xml:space="preserve">1 </t>
    </r>
    <r>
      <rPr>
        <sz val="11"/>
        <rFont val="Calibri"/>
        <family val="2"/>
        <scheme val="minor"/>
      </rPr>
      <t>/ 0</t>
    </r>
  </si>
  <si>
    <t>year</t>
  </si>
  <si>
    <t>f6</t>
  </si>
  <si>
    <t>f12</t>
  </si>
  <si>
    <t>f18</t>
  </si>
  <si>
    <t>f24</t>
  </si>
  <si>
    <t>f30</t>
  </si>
  <si>
    <t>f36</t>
  </si>
  <si>
    <t>Subtotal</t>
  </si>
  <si>
    <t>r6</t>
  </si>
  <si>
    <t>r12</t>
  </si>
  <si>
    <t>r18</t>
  </si>
  <si>
    <t>r24</t>
  </si>
  <si>
    <t>r30</t>
  </si>
  <si>
    <t>r36</t>
  </si>
  <si>
    <t>r_na</t>
  </si>
  <si>
    <t>f_na</t>
  </si>
  <si>
    <t>Total Patients</t>
  </si>
  <si>
    <t xml:space="preserve">Which had a claim in every semester in </t>
  </si>
  <si>
    <t>look back journey - 2 semesters</t>
  </si>
  <si>
    <t>Look Forward - 4 semesters (of available journey)</t>
  </si>
  <si>
    <t>Approach not 100% right, but still directionally this makes sense</t>
  </si>
  <si>
    <t>WIP (Review pending)</t>
  </si>
  <si>
    <t>Tier - I</t>
  </si>
  <si>
    <t>Tier - II</t>
  </si>
  <si>
    <t>Total Patients = f6 2025 + f12 2024 + f24 2023 + f24 2022 + f24 2021</t>
  </si>
  <si>
    <t>2nd June</t>
  </si>
  <si>
    <t>Basic QCs</t>
  </si>
  <si>
    <t>Sufficient Look Forward Filter</t>
  </si>
  <si>
    <t>Handle NPI Col</t>
  </si>
  <si>
    <t>Dim HCP handling</t>
  </si>
  <si>
    <t># Patients in Old Data Shared on Friday Afternoon</t>
  </si>
  <si>
    <t>Difference</t>
  </si>
  <si>
    <t># Patients in New Data Shared on Friday Evening</t>
  </si>
  <si>
    <t>Max Pso AD SebD Diagnosis Date</t>
  </si>
  <si>
    <t>Min Pso AD SebD Diagnosis Date</t>
  </si>
  <si>
    <t>Old Data</t>
  </si>
  <si>
    <t>Dropping Additional Patients for Look Forward Filter</t>
  </si>
  <si>
    <t>Final #Patients</t>
  </si>
  <si>
    <t>Quick Summaries</t>
  </si>
  <si>
    <t>Working with NPI column</t>
  </si>
  <si>
    <t>PROVIDER_ID</t>
  </si>
  <si>
    <t>REFERRING_PROVIDER_ID</t>
  </si>
  <si>
    <t>BILLING_PROVIDER_ID</t>
  </si>
  <si>
    <t>FACILITY_PROVIDER_ID</t>
  </si>
  <si>
    <t>3rd June</t>
  </si>
  <si>
    <t>Speciality QC</t>
  </si>
  <si>
    <t>HCP Universe Validation</t>
  </si>
  <si>
    <r>
      <t xml:space="preserve">Derms, </t>
    </r>
    <r>
      <rPr>
        <b/>
        <sz val="11"/>
        <color rgb="FFFF0000"/>
        <rFont val="Calibri"/>
        <family val="2"/>
        <scheme val="minor"/>
      </rPr>
      <t>Derm NP/PA</t>
    </r>
  </si>
  <si>
    <t>Universe Summary</t>
  </si>
  <si>
    <t>No of HCP Interactions</t>
  </si>
  <si>
    <t>Removing HCPs having only 1 patient Interaction</t>
  </si>
  <si>
    <t>No of Patients per HCP - later on after creating ref.</t>
  </si>
  <si>
    <t>Getting Speciality group added</t>
  </si>
  <si>
    <t>delay</t>
  </si>
  <si>
    <t>VDI stopped working</t>
  </si>
  <si>
    <t>Referral Code setup -1</t>
  </si>
  <si>
    <t>4th June</t>
  </si>
  <si>
    <r>
      <t xml:space="preserve">Applied a </t>
    </r>
    <r>
      <rPr>
        <b/>
        <i/>
        <sz val="11"/>
        <color theme="1"/>
        <rFont val="Calibri"/>
        <family val="2"/>
        <scheme val="minor"/>
      </rPr>
      <t>Semesterly</t>
    </r>
    <r>
      <rPr>
        <i/>
        <sz val="11"/>
        <color theme="1"/>
        <rFont val="Calibri"/>
        <family val="2"/>
        <scheme val="minor"/>
      </rPr>
      <t xml:space="preserve"> rule for </t>
    </r>
    <r>
      <rPr>
        <b/>
        <i/>
        <sz val="11"/>
        <color theme="1"/>
        <rFont val="Calibri"/>
        <family val="2"/>
        <scheme val="minor"/>
      </rPr>
      <t>2</t>
    </r>
    <r>
      <rPr>
        <i/>
        <sz val="11"/>
        <color theme="1"/>
        <rFont val="Calibri"/>
        <family val="2"/>
        <scheme val="minor"/>
      </rPr>
      <t xml:space="preserve"> years pre and post 1st AD/SebD/PsO diagnosis, To ensure we use Patients who have stable capture for this analysis</t>
    </r>
  </si>
  <si>
    <t>* Co-Management Case (initiated by Derm)</t>
  </si>
  <si>
    <t xml:space="preserve">* Consider referrals only for Derm &lt; - &gt; Derm NP/PA cases </t>
  </si>
  <si>
    <t>* Consider referrals only for Derm -&gt; Derm, 
Derm NP/PA -&gt; Derm NP/PA cases (2 cases)</t>
  </si>
  <si>
    <t>Non Derms, Derms NP/PA</t>
  </si>
  <si>
    <t>PCP, Pediatrics, NP/PA, Others, Rheumatology, Obs &amp; Gyne, Allergy &amp; Immunology</t>
  </si>
  <si>
    <t>PsO, AD, SebD relevant drugs identified - (n= 150) - Desk Research + Existing ZORYVE Target List</t>
  </si>
  <si>
    <t>All others</t>
  </si>
  <si>
    <t>PCP, Pediatrics, Non Derm NP/PAs, Others, Rheumatology, Obs &amp; Gyne, Allergy &amp; Immunology</t>
  </si>
  <si>
    <t>Monday / Extend time on Tuesday</t>
  </si>
  <si>
    <t>: Some initial treatment, then first referral for diagnoses</t>
  </si>
  <si>
    <t>Rules can be written in simple 2-3 terms</t>
  </si>
  <si>
    <t>PCP to Derm, Derm to PCP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</si>
</sst>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theme="1"/>
      <name val="Calibri"/>
      <family val="2"/>
      <scheme val="minor"/>
    </font>
    <font>
      <b/>
      <i/>
      <sz val="11"/>
      <color theme="1"/>
      <name val="Calibri"/>
      <family val="2"/>
      <scheme val="minor"/>
    </font>
    <font>
      <sz val="11"/>
      <color rgb="FF00B050"/>
      <name val="Calibri"/>
      <family val="2"/>
      <scheme val="minor"/>
    </font>
    <font>
      <b/>
      <sz val="11"/>
      <color rgb="FF00B050"/>
      <name val="Calibri"/>
      <family val="2"/>
      <scheme val="minor"/>
    </font>
    <font>
      <sz val="11"/>
      <name val="Calibri"/>
      <family val="2"/>
      <scheme val="minor"/>
    </font>
    <font>
      <b/>
      <u/>
      <sz val="11"/>
      <color theme="1"/>
      <name val="Calibri"/>
      <family val="2"/>
      <scheme val="minor"/>
    </font>
    <font>
      <sz val="11"/>
      <color rgb="FFFF0000"/>
      <name val="Calibri"/>
      <family val="2"/>
      <scheme val="minor"/>
    </font>
    <font>
      <i/>
      <sz val="11"/>
      <color theme="1"/>
      <name val="Calibri"/>
      <family val="2"/>
      <scheme val="minor"/>
    </font>
    <font>
      <i/>
      <sz val="11"/>
      <color rgb="FFFF0000"/>
      <name val="Calibri"/>
      <family val="2"/>
      <scheme val="minor"/>
    </font>
    <font>
      <b/>
      <sz val="11"/>
      <color rgb="FF7030A0"/>
      <name val="Calibri"/>
      <family val="2"/>
      <scheme val="minor"/>
    </font>
    <font>
      <i/>
      <u/>
      <sz val="11"/>
      <color rgb="FFFF0000"/>
      <name val="Calibri"/>
      <family val="2"/>
      <scheme val="minor"/>
    </font>
    <font>
      <b/>
      <sz val="24"/>
      <color theme="1"/>
      <name val="Calibri"/>
      <family val="2"/>
      <scheme val="minor"/>
    </font>
    <font>
      <b/>
      <sz val="18"/>
      <color theme="1"/>
      <name val="Calibri"/>
      <family val="2"/>
      <scheme val="minor"/>
    </font>
    <font>
      <sz val="11"/>
      <color rgb="FF242424"/>
      <name val="Inherit"/>
    </font>
    <font>
      <b/>
      <sz val="11"/>
      <color rgb="FFFF0000"/>
      <name val="Calibri"/>
      <family val="2"/>
      <scheme val="minor"/>
    </font>
    <font>
      <sz val="11"/>
      <color rgb="FF00B050"/>
      <name val="Inherit"/>
    </font>
    <font>
      <sz val="11"/>
      <color theme="1"/>
      <name val="Calibri"/>
      <family val="2"/>
      <scheme val="minor"/>
    </font>
    <font>
      <sz val="11"/>
      <name val="Inherit"/>
    </font>
    <font>
      <b/>
      <i/>
      <u/>
      <sz val="11"/>
      <color theme="1"/>
      <name val="Calibri"/>
      <family val="2"/>
      <scheme val="minor"/>
    </font>
    <font>
      <i/>
      <sz val="11"/>
      <color rgb="FF242424"/>
      <name val="Inherit"/>
    </font>
    <font>
      <b/>
      <i/>
      <sz val="11"/>
      <name val="Inherit"/>
    </font>
    <font>
      <b/>
      <sz val="11"/>
      <color rgb="FF002060"/>
      <name val="Calibri"/>
      <family val="2"/>
      <scheme val="minor"/>
    </font>
    <font>
      <sz val="18"/>
      <name val="Arial"/>
      <family val="2"/>
    </font>
    <font>
      <b/>
      <i/>
      <sz val="11"/>
      <color rgb="FFFFFFFF"/>
      <name val="Calibri"/>
      <family val="2"/>
    </font>
    <font>
      <b/>
      <i/>
      <sz val="11"/>
      <color rgb="FF000000"/>
      <name val="Calibri"/>
      <family val="2"/>
    </font>
    <font>
      <b/>
      <i/>
      <sz val="11"/>
      <color rgb="FFFF0000"/>
      <name val="Calibri"/>
      <family val="2"/>
      <scheme val="minor"/>
    </font>
    <font>
      <sz val="10"/>
      <color rgb="FF2E2E2E"/>
      <name val="Arial"/>
      <family val="2"/>
    </font>
    <font>
      <b/>
      <sz val="10"/>
      <color rgb="FF2E2E2E"/>
      <name val="Arial"/>
      <family val="2"/>
    </font>
    <font>
      <b/>
      <i/>
      <sz val="8"/>
      <color rgb="FFFF0000"/>
      <name val="Arial"/>
      <family val="2"/>
    </font>
    <font>
      <b/>
      <i/>
      <sz val="8"/>
      <color rgb="FF00B050"/>
      <name val="Arial"/>
      <family val="2"/>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0000"/>
        <bgColor indexed="64"/>
      </patternFill>
    </fill>
    <fill>
      <patternFill patternType="solid">
        <fgColor rgb="FFC00000"/>
        <bgColor indexed="64"/>
      </patternFill>
    </fill>
    <fill>
      <patternFill patternType="solid">
        <fgColor rgb="FFCAEDFB"/>
        <bgColor indexed="64"/>
      </patternFill>
    </fill>
    <fill>
      <patternFill patternType="solid">
        <fgColor rgb="FFDAF2D0"/>
        <bgColor indexed="64"/>
      </patternFill>
    </fill>
    <fill>
      <patternFill patternType="solid">
        <fgColor rgb="FFFBE2D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top/>
      <bottom/>
      <diagonal/>
    </border>
    <border>
      <left style="thin">
        <color rgb="FF34373F"/>
      </left>
      <right style="dotted">
        <color rgb="FF000000"/>
      </right>
      <top style="thin">
        <color rgb="FF34373F"/>
      </top>
      <bottom style="medium">
        <color rgb="FF000000"/>
      </bottom>
      <diagonal/>
    </border>
    <border>
      <left style="thin">
        <color rgb="FF34373F"/>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thin">
        <color rgb="FF34373F"/>
      </right>
      <top style="medium">
        <color rgb="FF000000"/>
      </top>
      <bottom style="dotted">
        <color rgb="FF000000"/>
      </bottom>
      <diagonal/>
    </border>
    <border>
      <left style="thin">
        <color rgb="FF34373F"/>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34373F"/>
      </right>
      <top style="dotted">
        <color rgb="FF000000"/>
      </top>
      <bottom style="dotted">
        <color rgb="FF000000"/>
      </bottom>
      <diagonal/>
    </border>
    <border>
      <left style="thin">
        <color rgb="FF34373F"/>
      </left>
      <right style="dotted">
        <color rgb="FF000000"/>
      </right>
      <top style="dotted">
        <color rgb="FF000000"/>
      </top>
      <bottom style="thin">
        <color rgb="FF34373F"/>
      </bottom>
      <diagonal/>
    </border>
    <border>
      <left style="dotted">
        <color rgb="FF000000"/>
      </left>
      <right style="dotted">
        <color rgb="FF000000"/>
      </right>
      <top style="dotted">
        <color rgb="FF000000"/>
      </top>
      <bottom style="thin">
        <color rgb="FF34373F"/>
      </bottom>
      <diagonal/>
    </border>
    <border>
      <left style="dotted">
        <color rgb="FF000000"/>
      </left>
      <right style="thin">
        <color rgb="FF34373F"/>
      </right>
      <top style="dotted">
        <color rgb="FF000000"/>
      </top>
      <bottom style="thin">
        <color rgb="FF34373F"/>
      </bottom>
      <diagonal/>
    </border>
    <border>
      <left style="thin">
        <color indexed="64"/>
      </left>
      <right style="thin">
        <color indexed="64"/>
      </right>
      <top style="thin">
        <color indexed="64"/>
      </top>
      <bottom style="thin">
        <color indexed="64"/>
      </bottom>
      <diagonal/>
    </border>
    <border>
      <left style="dotted">
        <color rgb="FF000000"/>
      </left>
      <right style="dotted">
        <color rgb="FF000000"/>
      </right>
      <top/>
      <bottom style="dotted">
        <color rgb="FF000000"/>
      </bottom>
      <diagonal/>
    </border>
  </borders>
  <cellStyleXfs count="2">
    <xf numFmtId="0" fontId="0" fillId="0" borderId="0"/>
    <xf numFmtId="9" fontId="17" fillId="0" borderId="0" applyFont="0" applyFill="0" applyBorder="0" applyAlignment="0" applyProtection="0"/>
  </cellStyleXfs>
  <cellXfs count="127">
    <xf numFmtId="0" fontId="0" fillId="0" borderId="0" xfId="0"/>
    <xf numFmtId="0" fontId="2" fillId="0" borderId="0" xfId="0" applyFont="1"/>
    <xf numFmtId="0" fontId="1" fillId="2" borderId="0" xfId="0" quotePrefix="1" applyFont="1" applyFill="1"/>
    <xf numFmtId="0" fontId="1" fillId="0" borderId="0" xfId="0" quotePrefix="1" applyFont="1"/>
    <xf numFmtId="0" fontId="0" fillId="0" borderId="0" xfId="0" quotePrefix="1"/>
    <xf numFmtId="0" fontId="0" fillId="3" borderId="0" xfId="0" applyFill="1"/>
    <xf numFmtId="0" fontId="3" fillId="0" borderId="0" xfId="0" applyFont="1"/>
    <xf numFmtId="0" fontId="4" fillId="0" borderId="0" xfId="0" applyFont="1"/>
    <xf numFmtId="0" fontId="5"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vertical="top"/>
    </xf>
    <xf numFmtId="0" fontId="6" fillId="0" borderId="0" xfId="0" applyFont="1"/>
    <xf numFmtId="0" fontId="0" fillId="3" borderId="0" xfId="0" applyFill="1" applyAlignment="1">
      <alignment vertical="center"/>
    </xf>
    <xf numFmtId="0" fontId="0" fillId="3" borderId="0" xfId="0" applyFill="1" applyAlignment="1">
      <alignment horizontal="center" vertical="center"/>
    </xf>
    <xf numFmtId="0" fontId="1" fillId="3" borderId="0" xfId="0" quotePrefix="1" applyFont="1" applyFill="1"/>
    <xf numFmtId="0" fontId="1" fillId="2" borderId="0" xfId="0" applyFont="1" applyFill="1" applyAlignment="1">
      <alignment horizontal="center"/>
    </xf>
    <xf numFmtId="0" fontId="7" fillId="0" borderId="0" xfId="0" applyFont="1"/>
    <xf numFmtId="0" fontId="8" fillId="0" borderId="0" xfId="0" applyFont="1"/>
    <xf numFmtId="0" fontId="0" fillId="2" borderId="0" xfId="0" applyFill="1"/>
    <xf numFmtId="0" fontId="10" fillId="0" borderId="0" xfId="0" applyFont="1"/>
    <xf numFmtId="9" fontId="11" fillId="0" borderId="0" xfId="0" applyNumberFormat="1" applyFont="1" applyAlignment="1">
      <alignment horizontal="center"/>
    </xf>
    <xf numFmtId="0" fontId="12" fillId="0" borderId="0" xfId="0" applyFont="1" applyAlignment="1">
      <alignment vertical="center"/>
    </xf>
    <xf numFmtId="0" fontId="13" fillId="0" borderId="0" xfId="0" applyFont="1" applyAlignment="1">
      <alignment vertical="center"/>
    </xf>
    <xf numFmtId="0" fontId="0" fillId="0" borderId="0" xfId="0" applyAlignment="1">
      <alignment horizontal="left" vertical="center" indent="1"/>
    </xf>
    <xf numFmtId="0" fontId="0" fillId="2" borderId="0" xfId="0" applyFill="1" applyAlignment="1">
      <alignment horizontal="left" vertical="center" indent="1"/>
    </xf>
    <xf numFmtId="0" fontId="1" fillId="0" borderId="0" xfId="0" applyFont="1" applyAlignment="1">
      <alignment horizontal="center" vertical="center" wrapText="1"/>
    </xf>
    <xf numFmtId="0" fontId="0" fillId="4" borderId="0" xfId="0" applyFill="1" applyAlignment="1">
      <alignment vertical="center"/>
    </xf>
    <xf numFmtId="0" fontId="0" fillId="5" borderId="0" xfId="0" applyFill="1" applyAlignment="1">
      <alignment vertical="center"/>
    </xf>
    <xf numFmtId="0" fontId="0" fillId="6" borderId="0" xfId="0" applyFill="1" applyAlignment="1">
      <alignment vertical="center"/>
    </xf>
    <xf numFmtId="0" fontId="6" fillId="0" borderId="0" xfId="0" applyFont="1" applyAlignment="1">
      <alignment horizontal="center"/>
    </xf>
    <xf numFmtId="0" fontId="0" fillId="4" borderId="0" xfId="0" applyFill="1" applyAlignment="1">
      <alignment vertical="center" wrapText="1"/>
    </xf>
    <xf numFmtId="0" fontId="0" fillId="6" borderId="0" xfId="0" applyFill="1" applyAlignment="1">
      <alignment vertical="center" wrapText="1"/>
    </xf>
    <xf numFmtId="0" fontId="0" fillId="5" borderId="0" xfId="0" applyFill="1" applyAlignment="1">
      <alignment vertical="center" wrapText="1"/>
    </xf>
    <xf numFmtId="0" fontId="0" fillId="7" borderId="0" xfId="0" applyFill="1" applyAlignment="1">
      <alignment horizontal="left"/>
    </xf>
    <xf numFmtId="0" fontId="0" fillId="7" borderId="0" xfId="0" applyFill="1"/>
    <xf numFmtId="0" fontId="14" fillId="0" borderId="0" xfId="0" applyFont="1" applyAlignment="1">
      <alignment horizontal="left" vertical="center" wrapText="1" indent="1"/>
    </xf>
    <xf numFmtId="0" fontId="14" fillId="0" borderId="0" xfId="0" applyFont="1" applyAlignment="1">
      <alignment horizontal="left" vertical="center" wrapText="1" indent="5"/>
    </xf>
    <xf numFmtId="0" fontId="14" fillId="0" borderId="0" xfId="0" applyFont="1" applyAlignment="1">
      <alignment vertical="center" wrapText="1"/>
    </xf>
    <xf numFmtId="0" fontId="14" fillId="0" borderId="0" xfId="0" applyFont="1" applyAlignment="1">
      <alignment horizontal="left" vertical="center" wrapText="1" indent="2"/>
    </xf>
    <xf numFmtId="0" fontId="15" fillId="7" borderId="0" xfId="0" applyFont="1" applyFill="1"/>
    <xf numFmtId="0" fontId="4" fillId="7" borderId="0" xfId="0" applyFont="1" applyFill="1"/>
    <xf numFmtId="0" fontId="16" fillId="0" borderId="0" xfId="0" applyFont="1" applyAlignment="1">
      <alignment horizontal="left" vertical="center" wrapText="1" indent="1"/>
    </xf>
    <xf numFmtId="0" fontId="14" fillId="7" borderId="0" xfId="0" applyFont="1" applyFill="1" applyAlignment="1">
      <alignment horizontal="left" vertical="center" wrapText="1" indent="5"/>
    </xf>
    <xf numFmtId="0" fontId="8" fillId="7" borderId="0" xfId="0" applyFont="1" applyFill="1"/>
    <xf numFmtId="0" fontId="19" fillId="7" borderId="0" xfId="0" applyFont="1" applyFill="1"/>
    <xf numFmtId="9" fontId="14" fillId="7" borderId="0" xfId="1" applyFont="1" applyFill="1" applyAlignment="1">
      <alignment vertical="center" wrapText="1"/>
    </xf>
    <xf numFmtId="0" fontId="18" fillId="7" borderId="0" xfId="0" applyFont="1" applyFill="1" applyAlignment="1">
      <alignment vertical="center"/>
    </xf>
    <xf numFmtId="0" fontId="20" fillId="7" borderId="0" xfId="0" applyFont="1" applyFill="1" applyAlignment="1">
      <alignment horizontal="left" vertical="center" indent="1"/>
    </xf>
    <xf numFmtId="0" fontId="20" fillId="7" borderId="0" xfId="0" applyFont="1" applyFill="1" applyAlignment="1">
      <alignment horizontal="left" vertical="center" indent="2"/>
    </xf>
    <xf numFmtId="0" fontId="21" fillId="7" borderId="0" xfId="0" applyFont="1" applyFill="1" applyAlignment="1">
      <alignment vertical="center"/>
    </xf>
    <xf numFmtId="0" fontId="0" fillId="0" borderId="0" xfId="0" applyAlignment="1">
      <alignment horizontal="left"/>
    </xf>
    <xf numFmtId="0" fontId="0" fillId="3" borderId="1" xfId="0" applyFill="1" applyBorder="1"/>
    <xf numFmtId="0" fontId="1" fillId="0" borderId="0" xfId="0" applyFont="1"/>
    <xf numFmtId="0" fontId="8" fillId="3" borderId="0" xfId="0" applyFont="1" applyFill="1"/>
    <xf numFmtId="0" fontId="9" fillId="3" borderId="0" xfId="0" applyFont="1" applyFill="1"/>
    <xf numFmtId="9" fontId="0" fillId="0" borderId="0" xfId="0" applyNumberFormat="1" applyAlignment="1">
      <alignment horizontal="center"/>
    </xf>
    <xf numFmtId="0" fontId="24" fillId="8" borderId="2" xfId="0" applyFont="1" applyFill="1" applyBorder="1" applyAlignment="1">
      <alignment horizontal="center" vertical="center" readingOrder="1"/>
    </xf>
    <xf numFmtId="0" fontId="23" fillId="11" borderId="4" xfId="0" applyFont="1" applyFill="1" applyBorder="1" applyAlignment="1">
      <alignment horizontal="center" vertical="center"/>
    </xf>
    <xf numFmtId="0" fontId="23" fillId="12" borderId="4" xfId="0" applyFont="1" applyFill="1" applyBorder="1" applyAlignment="1">
      <alignment horizontal="center" vertical="center"/>
    </xf>
    <xf numFmtId="0" fontId="23" fillId="11" borderId="5" xfId="0" applyFont="1" applyFill="1" applyBorder="1" applyAlignment="1">
      <alignment horizontal="center" vertical="center"/>
    </xf>
    <xf numFmtId="0" fontId="23" fillId="12" borderId="7" xfId="0" applyFont="1" applyFill="1" applyBorder="1" applyAlignment="1">
      <alignment horizontal="center" vertical="center"/>
    </xf>
    <xf numFmtId="0" fontId="23" fillId="11" borderId="7" xfId="0" applyFont="1" applyFill="1" applyBorder="1" applyAlignment="1">
      <alignment horizontal="center" vertical="center"/>
    </xf>
    <xf numFmtId="0" fontId="23" fillId="11" borderId="8" xfId="0" applyFont="1" applyFill="1" applyBorder="1" applyAlignment="1">
      <alignment horizontal="center" vertical="center"/>
    </xf>
    <xf numFmtId="0" fontId="23" fillId="12" borderId="10" xfId="0" applyFont="1" applyFill="1" applyBorder="1" applyAlignment="1">
      <alignment horizontal="center" vertical="center"/>
    </xf>
    <xf numFmtId="0" fontId="23" fillId="11" borderId="10" xfId="0" applyFont="1" applyFill="1" applyBorder="1" applyAlignment="1">
      <alignment horizontal="center" vertical="center"/>
    </xf>
    <xf numFmtId="0" fontId="23" fillId="11" borderId="11" xfId="0" applyFont="1" applyFill="1" applyBorder="1" applyAlignment="1">
      <alignment horizontal="center" vertical="center"/>
    </xf>
    <xf numFmtId="0" fontId="26" fillId="0" borderId="0" xfId="0" applyFont="1" applyAlignment="1">
      <alignment horizontal="right"/>
    </xf>
    <xf numFmtId="0" fontId="6" fillId="2" borderId="12" xfId="0" applyFont="1" applyFill="1" applyBorder="1"/>
    <xf numFmtId="0" fontId="15" fillId="0" borderId="12" xfId="0" applyFont="1" applyBorder="1" applyAlignment="1">
      <alignment horizontal="center"/>
    </xf>
    <xf numFmtId="0" fontId="24" fillId="8" borderId="12" xfId="0" applyFont="1" applyFill="1" applyBorder="1" applyAlignment="1">
      <alignment horizontal="center" vertical="center" readingOrder="1"/>
    </xf>
    <xf numFmtId="0" fontId="24" fillId="9" borderId="12" xfId="0" applyFont="1" applyFill="1" applyBorder="1" applyAlignment="1">
      <alignment horizontal="center" vertical="center" readingOrder="1"/>
    </xf>
    <xf numFmtId="0" fontId="0" fillId="0" borderId="12" xfId="0" applyBorder="1" applyAlignment="1">
      <alignment horizontal="center"/>
    </xf>
    <xf numFmtId="0" fontId="0" fillId="2" borderId="12" xfId="0" applyFill="1" applyBorder="1" applyAlignment="1">
      <alignment horizontal="center"/>
    </xf>
    <xf numFmtId="0" fontId="27" fillId="0" borderId="0" xfId="0" applyFont="1" applyAlignment="1">
      <alignment horizontal="left" vertical="center" indent="1"/>
    </xf>
    <xf numFmtId="0" fontId="28" fillId="0" borderId="0" xfId="0" applyFont="1" applyAlignment="1">
      <alignment horizontal="left" vertical="center" indent="1"/>
    </xf>
    <xf numFmtId="0" fontId="5" fillId="2" borderId="12" xfId="0" applyFont="1" applyFill="1" applyBorder="1" applyAlignment="1">
      <alignment horizontal="center"/>
    </xf>
    <xf numFmtId="3" fontId="0" fillId="0" borderId="0" xfId="0" applyNumberFormat="1" applyAlignment="1">
      <alignment vertical="center" wrapText="1"/>
    </xf>
    <xf numFmtId="0" fontId="1" fillId="0" borderId="0" xfId="0" applyFont="1" applyAlignment="1">
      <alignment vertical="center" wrapText="1"/>
    </xf>
    <xf numFmtId="0" fontId="1" fillId="3" borderId="0" xfId="0" applyFont="1" applyFill="1" applyAlignment="1">
      <alignment horizontal="center" vertical="center" wrapText="1"/>
    </xf>
    <xf numFmtId="3" fontId="0" fillId="3" borderId="0" xfId="0" applyNumberFormat="1" applyFill="1"/>
    <xf numFmtId="0" fontId="0" fillId="13" borderId="12" xfId="0" applyFill="1" applyBorder="1" applyAlignment="1">
      <alignment vertical="center" wrapText="1"/>
    </xf>
    <xf numFmtId="0" fontId="1" fillId="0" borderId="12" xfId="0" applyFont="1" applyBorder="1" applyAlignment="1">
      <alignment horizontal="center"/>
    </xf>
    <xf numFmtId="0" fontId="0" fillId="13" borderId="0" xfId="0" applyFill="1"/>
    <xf numFmtId="0" fontId="1" fillId="2" borderId="0" xfId="0" applyFont="1" applyFill="1" applyAlignment="1">
      <alignment horizontal="center" vertical="center" wrapText="1"/>
    </xf>
    <xf numFmtId="0" fontId="1" fillId="0" borderId="12" xfId="0" applyFont="1" applyBorder="1" applyAlignment="1">
      <alignment horizontal="center" vertical="center" wrapText="1"/>
    </xf>
    <xf numFmtId="0" fontId="0" fillId="0" borderId="12" xfId="0" applyBorder="1" applyAlignment="1">
      <alignment horizontal="center" vertical="center" wrapText="1"/>
    </xf>
    <xf numFmtId="3" fontId="0" fillId="3" borderId="12" xfId="0" applyNumberFormat="1" applyFill="1" applyBorder="1" applyAlignment="1">
      <alignment horizontal="center" vertical="center" wrapText="1"/>
    </xf>
    <xf numFmtId="3" fontId="0" fillId="0" borderId="12" xfId="0" applyNumberFormat="1" applyBorder="1" applyAlignment="1">
      <alignment horizontal="center" vertical="center" wrapText="1"/>
    </xf>
    <xf numFmtId="3" fontId="1" fillId="0" borderId="12" xfId="0" applyNumberFormat="1" applyFont="1" applyBorder="1" applyAlignment="1">
      <alignment horizontal="center" vertical="center" wrapText="1"/>
    </xf>
    <xf numFmtId="3" fontId="0" fillId="2" borderId="0" xfId="0" applyNumberFormat="1" applyFill="1"/>
    <xf numFmtId="3" fontId="0" fillId="0" borderId="0" xfId="0" applyNumberFormat="1" applyAlignment="1">
      <alignment horizontal="center"/>
    </xf>
    <xf numFmtId="0" fontId="9" fillId="0" borderId="0" xfId="0" applyFont="1" applyAlignment="1">
      <alignment horizontal="center"/>
    </xf>
    <xf numFmtId="14" fontId="0" fillId="0" borderId="0" xfId="0" applyNumberFormat="1" applyAlignment="1">
      <alignment horizontal="center"/>
    </xf>
    <xf numFmtId="3" fontId="0" fillId="0" borderId="0" xfId="0" applyNumberFormat="1"/>
    <xf numFmtId="0" fontId="0" fillId="14" borderId="0" xfId="0" applyFill="1"/>
    <xf numFmtId="0" fontId="19" fillId="0" borderId="0" xfId="0" applyFont="1"/>
    <xf numFmtId="17" fontId="0" fillId="0" borderId="0" xfId="0" applyNumberFormat="1"/>
    <xf numFmtId="0" fontId="15" fillId="0" borderId="0" xfId="0" applyFont="1"/>
    <xf numFmtId="0" fontId="2" fillId="3" borderId="0" xfId="0" applyFont="1" applyFill="1"/>
    <xf numFmtId="3" fontId="0" fillId="3" borderId="0" xfId="0" applyNumberFormat="1" applyFill="1" applyAlignment="1">
      <alignment horizontal="center"/>
    </xf>
    <xf numFmtId="17" fontId="0" fillId="0" borderId="0" xfId="0" applyNumberFormat="1" applyAlignment="1">
      <alignment horizontal="center"/>
    </xf>
    <xf numFmtId="0" fontId="0" fillId="15" borderId="0" xfId="0" applyFill="1"/>
    <xf numFmtId="0" fontId="30" fillId="11" borderId="13" xfId="0" applyFont="1" applyFill="1" applyBorder="1" applyAlignment="1">
      <alignment horizontal="center" vertical="center" wrapText="1"/>
    </xf>
    <xf numFmtId="0" fontId="29" fillId="12" borderId="7" xfId="0" applyFont="1" applyFill="1" applyBorder="1" applyAlignment="1">
      <alignment horizontal="center" vertical="center" wrapText="1"/>
    </xf>
    <xf numFmtId="0" fontId="0" fillId="0" borderId="0" xfId="0" applyAlignment="1">
      <alignment wrapText="1"/>
    </xf>
    <xf numFmtId="0" fontId="1" fillId="0" borderId="12" xfId="0" applyFont="1" applyBorder="1" applyAlignment="1">
      <alignment horizontal="center" vertical="center"/>
    </xf>
    <xf numFmtId="0" fontId="25" fillId="10" borderId="3" xfId="0" applyFont="1" applyFill="1" applyBorder="1" applyAlignment="1">
      <alignment horizontal="left" vertical="center" readingOrder="1"/>
    </xf>
    <xf numFmtId="0" fontId="25" fillId="10" borderId="6" xfId="0" applyFont="1" applyFill="1" applyBorder="1" applyAlignment="1">
      <alignment horizontal="left" vertical="center" readingOrder="1"/>
    </xf>
    <xf numFmtId="0" fontId="25" fillId="10" borderId="9" xfId="0" applyFont="1" applyFill="1" applyBorder="1" applyAlignment="1">
      <alignment horizontal="left" vertical="center" readingOrder="1"/>
    </xf>
    <xf numFmtId="0" fontId="2" fillId="0" borderId="0" xfId="0" applyFont="1" applyAlignment="1">
      <alignment horizontal="right"/>
    </xf>
    <xf numFmtId="0" fontId="9" fillId="0" borderId="0" xfId="0" applyFont="1"/>
    <xf numFmtId="0" fontId="1" fillId="0" borderId="0" xfId="0" applyFont="1" applyAlignment="1">
      <alignment horizontal="left"/>
    </xf>
    <xf numFmtId="0" fontId="1" fillId="3" borderId="0" xfId="0" applyFont="1" applyFill="1"/>
    <xf numFmtId="0" fontId="2" fillId="3" borderId="0" xfId="0" applyFont="1" applyFill="1" applyAlignment="1">
      <alignment horizontal="right"/>
    </xf>
    <xf numFmtId="0" fontId="2" fillId="7" borderId="0" xfId="0" applyFont="1" applyFill="1" applyAlignment="1">
      <alignment horizontal="left"/>
    </xf>
    <xf numFmtId="0" fontId="0" fillId="0" borderId="0" xfId="0" applyAlignment="1">
      <alignment horizontal="center" vertical="center"/>
    </xf>
    <xf numFmtId="0" fontId="0" fillId="7" borderId="0" xfId="0" applyFill="1" applyAlignment="1">
      <alignment horizontal="left"/>
    </xf>
    <xf numFmtId="0" fontId="1" fillId="2" borderId="0" xfId="0" applyFont="1" applyFill="1" applyAlignment="1">
      <alignment horizontal="left"/>
    </xf>
    <xf numFmtId="0" fontId="1" fillId="3" borderId="0" xfId="0" applyFont="1" applyFill="1" applyAlignment="1">
      <alignment horizontal="center" vertical="center"/>
    </xf>
    <xf numFmtId="0" fontId="0" fillId="0" borderId="0" xfId="0" applyAlignment="1">
      <alignment horizontal="right" vertical="center"/>
    </xf>
    <xf numFmtId="0" fontId="2" fillId="0" borderId="0" xfId="0" applyFont="1" applyAlignment="1">
      <alignment horizontal="center" vertical="center"/>
    </xf>
    <xf numFmtId="0" fontId="9" fillId="0" borderId="0" xfId="0" applyFont="1" applyAlignment="1">
      <alignment horizontal="center" vertical="center"/>
    </xf>
    <xf numFmtId="0" fontId="6" fillId="0" borderId="0" xfId="0" applyFont="1" applyAlignment="1">
      <alignment vertical="center"/>
    </xf>
    <xf numFmtId="0" fontId="0" fillId="3" borderId="0" xfId="0" applyFill="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15</xdr:col>
      <xdr:colOff>76200</xdr:colOff>
      <xdr:row>1</xdr:row>
      <xdr:rowOff>160020</xdr:rowOff>
    </xdr:from>
    <xdr:to>
      <xdr:col>16</xdr:col>
      <xdr:colOff>2438400</xdr:colOff>
      <xdr:row>6</xdr:row>
      <xdr:rowOff>91440</xdr:rowOff>
    </xdr:to>
    <xdr:sp macro="" textlink="">
      <xdr:nvSpPr>
        <xdr:cNvPr id="3" name="TextBox 2">
          <a:extLst>
            <a:ext uri="{FF2B5EF4-FFF2-40B4-BE49-F238E27FC236}">
              <a16:creationId xmlns:a16="http://schemas.microsoft.com/office/drawing/2014/main" id="{CA219F5D-A06C-C2E3-0690-3FAA2248C5B1}"/>
            </a:ext>
          </a:extLst>
        </xdr:cNvPr>
        <xdr:cNvSpPr txBox="1"/>
      </xdr:nvSpPr>
      <xdr:spPr>
        <a:xfrm>
          <a:off x="10500360" y="342900"/>
          <a:ext cx="297180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50"/>
              </a:solidFill>
            </a:rPr>
            <a:t>Problem Statement feels like</a:t>
          </a:r>
          <a:r>
            <a:rPr lang="en-IN" sz="1100" b="1" baseline="0">
              <a:solidFill>
                <a:srgbClr val="00B050"/>
              </a:solidFill>
            </a:rPr>
            <a:t> a Holistic Targeting excercise where the goal is to use both direct and indirect influence to target a particular "Ecosystem" of HCPs</a:t>
          </a:r>
          <a:endParaRPr lang="en-IN" sz="1100" b="1">
            <a:solidFill>
              <a:srgbClr val="00B05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0</xdr:colOff>
      <xdr:row>1</xdr:row>
      <xdr:rowOff>0</xdr:rowOff>
    </xdr:from>
    <xdr:to>
      <xdr:col>23</xdr:col>
      <xdr:colOff>510743</xdr:colOff>
      <xdr:row>6</xdr:row>
      <xdr:rowOff>45803</xdr:rowOff>
    </xdr:to>
    <xdr:pic>
      <xdr:nvPicPr>
        <xdr:cNvPr id="2" name="Picture 1">
          <a:extLst>
            <a:ext uri="{FF2B5EF4-FFF2-40B4-BE49-F238E27FC236}">
              <a16:creationId xmlns:a16="http://schemas.microsoft.com/office/drawing/2014/main" id="{893518D4-C513-BE72-9CDB-91DFE020AB90}"/>
            </a:ext>
          </a:extLst>
        </xdr:cNvPr>
        <xdr:cNvPicPr>
          <a:picLocks noChangeAspect="1"/>
        </xdr:cNvPicPr>
      </xdr:nvPicPr>
      <xdr:blipFill>
        <a:blip xmlns:r="http://schemas.openxmlformats.org/officeDocument/2006/relationships" r:embed="rId1"/>
        <a:stretch>
          <a:fillRect/>
        </a:stretch>
      </xdr:blipFill>
      <xdr:spPr>
        <a:xfrm>
          <a:off x="11361420" y="182880"/>
          <a:ext cx="2339543" cy="9602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541020</xdr:colOff>
      <xdr:row>22</xdr:row>
      <xdr:rowOff>7066</xdr:rowOff>
    </xdr:from>
    <xdr:to>
      <xdr:col>15</xdr:col>
      <xdr:colOff>495300</xdr:colOff>
      <xdr:row>33</xdr:row>
      <xdr:rowOff>143031</xdr:rowOff>
    </xdr:to>
    <xdr:pic>
      <xdr:nvPicPr>
        <xdr:cNvPr id="2" name="Picture 1">
          <a:extLst>
            <a:ext uri="{FF2B5EF4-FFF2-40B4-BE49-F238E27FC236}">
              <a16:creationId xmlns:a16="http://schemas.microsoft.com/office/drawing/2014/main" id="{CCDED423-98E7-7242-79B4-D1BA2A6485B6}"/>
            </a:ext>
          </a:extLst>
        </xdr:cNvPr>
        <xdr:cNvPicPr>
          <a:picLocks noChangeAspect="1"/>
        </xdr:cNvPicPr>
      </xdr:nvPicPr>
      <xdr:blipFill>
        <a:blip xmlns:r="http://schemas.openxmlformats.org/officeDocument/2006/relationships" r:embed="rId1"/>
        <a:stretch>
          <a:fillRect/>
        </a:stretch>
      </xdr:blipFill>
      <xdr:spPr>
        <a:xfrm>
          <a:off x="10165080" y="4030426"/>
          <a:ext cx="4221480" cy="2140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40</xdr:col>
      <xdr:colOff>0</xdr:colOff>
      <xdr:row>40</xdr:row>
      <xdr:rowOff>133350</xdr:rowOff>
    </xdr:to>
    <xdr:pic>
      <xdr:nvPicPr>
        <xdr:cNvPr id="2" name="Graphic 1">
          <a:extLst>
            <a:ext uri="{FF2B5EF4-FFF2-40B4-BE49-F238E27FC236}">
              <a16:creationId xmlns:a16="http://schemas.microsoft.com/office/drawing/2014/main" id="{57B8D464-E253-E6F5-B19C-A2AE212C82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30275" y="361950"/>
          <a:ext cx="15240000" cy="857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75"/>
  <sheetViews>
    <sheetView showGridLines="0" topLeftCell="B19" zoomScale="94" workbookViewId="0">
      <selection activeCell="C30" sqref="C30:J30"/>
    </sheetView>
  </sheetViews>
  <sheetFormatPr defaultRowHeight="14.5"/>
  <cols>
    <col min="9" max="9" width="18.6328125" customWidth="1"/>
    <col min="10" max="10" width="10" bestFit="1" customWidth="1"/>
    <col min="12" max="12" width="16.6328125" bestFit="1" customWidth="1"/>
    <col min="16" max="16" width="13.36328125" bestFit="1" customWidth="1"/>
    <col min="17" max="17" width="252.36328125" customWidth="1"/>
  </cols>
  <sheetData>
    <row r="2" spans="2:11">
      <c r="B2">
        <v>1</v>
      </c>
      <c r="C2" t="s">
        <v>0</v>
      </c>
    </row>
    <row r="3" spans="2:11">
      <c r="C3" s="1" t="s">
        <v>1</v>
      </c>
      <c r="G3" s="2" t="s">
        <v>2</v>
      </c>
    </row>
    <row r="5" spans="2:11">
      <c r="B5">
        <v>2</v>
      </c>
      <c r="C5" t="s">
        <v>3</v>
      </c>
    </row>
    <row r="6" spans="2:11">
      <c r="C6" s="1" t="s">
        <v>4</v>
      </c>
      <c r="I6" s="2" t="s">
        <v>2</v>
      </c>
    </row>
    <row r="8" spans="2:11">
      <c r="B8">
        <v>3</v>
      </c>
      <c r="C8" s="4" t="s">
        <v>5</v>
      </c>
      <c r="K8" s="22" t="s">
        <v>6</v>
      </c>
    </row>
    <row r="9" spans="2:11">
      <c r="C9" s="3" t="s">
        <v>7</v>
      </c>
    </row>
    <row r="10" spans="2:11">
      <c r="C10" s="3" t="s">
        <v>8</v>
      </c>
    </row>
    <row r="11" spans="2:11">
      <c r="C11" s="3" t="s">
        <v>9</v>
      </c>
    </row>
    <row r="12" spans="2:11">
      <c r="C12" s="3" t="s">
        <v>10</v>
      </c>
    </row>
    <row r="13" spans="2:11">
      <c r="C13" s="17" t="s">
        <v>11</v>
      </c>
      <c r="D13" s="5"/>
      <c r="E13" s="5"/>
    </row>
    <row r="14" spans="2:11">
      <c r="C14" s="3" t="s">
        <v>12</v>
      </c>
    </row>
    <row r="15" spans="2:11">
      <c r="C15" s="3"/>
      <c r="D15" s="7" t="s">
        <v>13</v>
      </c>
      <c r="E15" s="6"/>
      <c r="F15" s="6"/>
      <c r="I15" s="11" t="s">
        <v>14</v>
      </c>
    </row>
    <row r="16" spans="2:11">
      <c r="C16" s="3"/>
      <c r="D16" s="7" t="s">
        <v>15</v>
      </c>
      <c r="I16" s="11"/>
    </row>
    <row r="17" spans="2:18">
      <c r="C17" s="3"/>
      <c r="D17" s="8" t="s">
        <v>16</v>
      </c>
      <c r="I17" s="11"/>
    </row>
    <row r="18" spans="2:18">
      <c r="C18" s="3"/>
      <c r="D18" s="7"/>
    </row>
    <row r="19" spans="2:18">
      <c r="Q19" s="18" t="s">
        <v>17</v>
      </c>
      <c r="R19" s="18" t="s">
        <v>17</v>
      </c>
    </row>
    <row r="20" spans="2:18">
      <c r="B20" s="118">
        <v>1</v>
      </c>
      <c r="C20" s="119" t="s">
        <v>18</v>
      </c>
      <c r="D20" s="119"/>
      <c r="E20" s="119"/>
      <c r="F20" s="119"/>
      <c r="G20" s="119"/>
      <c r="H20" s="119"/>
      <c r="I20" s="119"/>
      <c r="J20" s="119"/>
      <c r="K20" s="119" t="s">
        <v>19</v>
      </c>
      <c r="L20" s="119"/>
      <c r="M20" s="119"/>
      <c r="N20" s="119"/>
      <c r="O20" s="119"/>
      <c r="P20" s="119"/>
      <c r="Q20" t="s">
        <v>20</v>
      </c>
      <c r="R20" s="19" t="s">
        <v>21</v>
      </c>
    </row>
    <row r="21" spans="2:18">
      <c r="B21" s="118"/>
      <c r="C21" s="119" t="s">
        <v>22</v>
      </c>
      <c r="D21" s="119"/>
      <c r="E21" s="119"/>
      <c r="F21" s="119"/>
      <c r="G21" s="119"/>
      <c r="H21" s="119"/>
      <c r="I21" s="119"/>
      <c r="J21" s="119"/>
      <c r="K21" s="46" t="s">
        <v>23</v>
      </c>
      <c r="L21" s="37"/>
      <c r="M21" s="37"/>
      <c r="N21" s="37"/>
      <c r="O21" s="37"/>
      <c r="P21" s="37"/>
    </row>
    <row r="22" spans="2:18">
      <c r="B22" s="118"/>
      <c r="C22" s="119" t="s">
        <v>24</v>
      </c>
      <c r="D22" s="119"/>
      <c r="E22" s="119"/>
      <c r="F22" s="119"/>
      <c r="G22" s="119"/>
      <c r="H22" s="119"/>
      <c r="I22" s="119"/>
      <c r="J22" s="119"/>
      <c r="K22" s="46" t="s">
        <v>25</v>
      </c>
      <c r="L22" s="37"/>
      <c r="M22" s="37"/>
      <c r="N22" s="37"/>
      <c r="O22" s="37"/>
      <c r="P22" s="37"/>
      <c r="Q22" s="44"/>
    </row>
    <row r="23" spans="2:18">
      <c r="B23" s="118"/>
      <c r="C23" s="119" t="s">
        <v>26</v>
      </c>
      <c r="D23" s="119"/>
      <c r="E23" s="119"/>
      <c r="F23" s="119"/>
      <c r="G23" s="119"/>
      <c r="H23" s="119"/>
      <c r="I23" s="119"/>
      <c r="J23" s="119"/>
      <c r="K23" s="46" t="s">
        <v>27</v>
      </c>
      <c r="L23" s="37"/>
      <c r="M23" s="37"/>
      <c r="N23" s="37"/>
      <c r="O23" s="37"/>
      <c r="P23" s="37"/>
      <c r="Q23" s="39"/>
    </row>
    <row r="24" spans="2:18">
      <c r="B24" s="118"/>
      <c r="C24" s="120" t="s">
        <v>28</v>
      </c>
      <c r="D24" s="120"/>
      <c r="E24" s="120"/>
      <c r="F24" s="120"/>
      <c r="G24" s="120"/>
      <c r="H24" s="120"/>
      <c r="I24" s="120"/>
      <c r="J24" s="120"/>
      <c r="K24" s="46" t="s">
        <v>29</v>
      </c>
      <c r="L24" s="37"/>
      <c r="M24" s="37"/>
      <c r="N24" s="37"/>
      <c r="O24" s="37"/>
      <c r="P24" s="37"/>
      <c r="Q24" s="44"/>
    </row>
    <row r="25" spans="2:18">
      <c r="B25" s="118"/>
      <c r="C25" s="119" t="s">
        <v>30</v>
      </c>
      <c r="D25" s="119"/>
      <c r="E25" s="119"/>
      <c r="F25" s="119"/>
      <c r="G25" s="119"/>
      <c r="H25" s="119"/>
      <c r="I25" s="119"/>
      <c r="J25" s="119"/>
      <c r="K25" s="46" t="s">
        <v>31</v>
      </c>
      <c r="L25" s="37"/>
      <c r="M25" s="37"/>
      <c r="N25" s="37"/>
      <c r="O25" s="37"/>
      <c r="P25" s="37"/>
      <c r="Q25" s="40"/>
    </row>
    <row r="26" spans="2:18">
      <c r="B26" s="10"/>
      <c r="C26" s="117" t="s">
        <v>278</v>
      </c>
      <c r="D26" s="36"/>
      <c r="E26" s="36"/>
      <c r="F26" s="36"/>
      <c r="G26" s="36"/>
      <c r="H26" s="36"/>
      <c r="I26" s="36"/>
      <c r="J26" s="36"/>
      <c r="K26" s="46"/>
      <c r="L26" s="37"/>
      <c r="M26" s="37"/>
      <c r="N26" s="37"/>
      <c r="O26" s="37"/>
      <c r="P26" s="37"/>
      <c r="Q26" s="40"/>
    </row>
    <row r="27" spans="2:18">
      <c r="C27" s="37"/>
      <c r="D27" s="37"/>
      <c r="E27" s="37"/>
      <c r="F27" s="37"/>
      <c r="G27" s="37"/>
      <c r="H27" s="37"/>
      <c r="I27" s="37"/>
      <c r="J27" s="37"/>
      <c r="K27" s="37"/>
      <c r="L27" s="37"/>
      <c r="M27" s="37"/>
      <c r="N27" s="37"/>
      <c r="O27" s="37"/>
      <c r="P27" s="37"/>
      <c r="Q27" s="38"/>
    </row>
    <row r="28" spans="2:18" hidden="1">
      <c r="B28" s="11">
        <v>2</v>
      </c>
      <c r="C28" s="42" t="s">
        <v>32</v>
      </c>
      <c r="D28" s="37"/>
      <c r="E28" s="37"/>
      <c r="F28" s="37"/>
      <c r="G28" s="37"/>
      <c r="H28" s="37"/>
      <c r="I28" s="37"/>
      <c r="J28" s="37"/>
      <c r="K28" s="37"/>
      <c r="L28" s="37"/>
      <c r="M28" s="37"/>
      <c r="N28" s="37"/>
      <c r="O28" s="37"/>
      <c r="P28" s="37"/>
      <c r="Q28" s="41"/>
    </row>
    <row r="29" spans="2:18">
      <c r="C29" s="37"/>
      <c r="D29" s="37"/>
      <c r="E29" s="37"/>
      <c r="F29" s="37"/>
      <c r="G29" s="37"/>
      <c r="H29" s="37"/>
      <c r="I29" s="37"/>
      <c r="J29" s="37"/>
      <c r="K29" s="37"/>
      <c r="L29" s="37"/>
      <c r="M29" s="37"/>
      <c r="N29" s="37"/>
      <c r="O29" s="37"/>
      <c r="P29" s="37"/>
    </row>
    <row r="30" spans="2:18">
      <c r="B30" s="11">
        <v>3</v>
      </c>
      <c r="C30" s="119" t="s">
        <v>33</v>
      </c>
      <c r="D30" s="119"/>
      <c r="E30" s="119"/>
      <c r="F30" s="119"/>
      <c r="G30" s="119"/>
      <c r="H30" s="119"/>
      <c r="I30" s="119"/>
      <c r="J30" s="119"/>
      <c r="K30" s="43" t="s">
        <v>34</v>
      </c>
      <c r="L30" s="37"/>
      <c r="M30" s="37"/>
      <c r="N30" s="37"/>
      <c r="O30" s="37"/>
      <c r="P30" s="37"/>
    </row>
    <row r="31" spans="2:18">
      <c r="B31" s="11"/>
      <c r="C31" s="36"/>
      <c r="D31" s="36"/>
      <c r="E31" s="36"/>
      <c r="F31" s="36"/>
      <c r="G31" s="36"/>
      <c r="H31" s="36"/>
      <c r="I31" s="36"/>
      <c r="J31" s="36"/>
      <c r="K31" s="43" t="s">
        <v>35</v>
      </c>
      <c r="L31" s="37"/>
      <c r="M31" s="37"/>
      <c r="N31" s="37"/>
      <c r="O31" s="37"/>
      <c r="P31" s="37"/>
    </row>
    <row r="32" spans="2:18">
      <c r="B32" s="11">
        <v>4</v>
      </c>
      <c r="C32" s="37" t="s">
        <v>36</v>
      </c>
      <c r="D32" s="37"/>
      <c r="E32" s="37"/>
      <c r="F32" s="37"/>
      <c r="G32" s="37"/>
      <c r="H32" s="37"/>
      <c r="I32" s="37"/>
      <c r="J32" s="37"/>
      <c r="K32" s="37" t="s">
        <v>37</v>
      </c>
      <c r="L32" s="37"/>
      <c r="M32" s="37"/>
      <c r="N32" s="37"/>
      <c r="O32" s="37"/>
      <c r="P32" s="37"/>
    </row>
    <row r="33" spans="2:17">
      <c r="B33" s="11"/>
      <c r="C33" s="37"/>
      <c r="D33" s="37"/>
      <c r="E33" s="37"/>
      <c r="F33" s="37"/>
      <c r="G33" s="37"/>
      <c r="H33" s="37"/>
      <c r="I33" s="37"/>
      <c r="J33" s="37"/>
      <c r="K33" s="37"/>
      <c r="L33" s="37"/>
      <c r="M33" s="37"/>
      <c r="N33" s="37"/>
      <c r="O33" s="37"/>
      <c r="P33" s="37"/>
    </row>
    <row r="34" spans="2:17">
      <c r="B34" s="11"/>
      <c r="C34" s="47" t="s">
        <v>38</v>
      </c>
      <c r="D34" s="37"/>
      <c r="E34" s="37"/>
      <c r="F34" s="37"/>
      <c r="G34" s="37"/>
      <c r="H34" s="37"/>
      <c r="I34" s="37"/>
      <c r="J34" s="37"/>
      <c r="K34" s="37"/>
      <c r="L34" s="37"/>
      <c r="M34" s="37"/>
      <c r="N34" s="37"/>
      <c r="O34" s="37"/>
      <c r="P34" s="37"/>
    </row>
    <row r="35" spans="2:17">
      <c r="B35" s="11"/>
      <c r="C35" s="47"/>
      <c r="D35" s="37"/>
      <c r="E35" s="37"/>
      <c r="F35" s="37"/>
      <c r="G35" s="37"/>
      <c r="H35" s="37"/>
      <c r="I35" s="37"/>
      <c r="J35" s="37"/>
      <c r="K35" s="37"/>
      <c r="L35" s="37"/>
      <c r="M35" s="37"/>
      <c r="N35" s="37"/>
      <c r="O35" s="37"/>
      <c r="P35" s="37"/>
    </row>
    <row r="36" spans="2:17">
      <c r="B36" s="11">
        <v>2</v>
      </c>
      <c r="C36" s="37" t="s">
        <v>39</v>
      </c>
      <c r="D36" s="37"/>
      <c r="E36" s="37"/>
      <c r="F36" s="37"/>
      <c r="G36" s="37"/>
      <c r="H36" s="37"/>
      <c r="I36" s="37"/>
      <c r="J36" s="37"/>
      <c r="K36" s="37"/>
      <c r="L36" s="37"/>
      <c r="M36" s="37"/>
      <c r="N36" s="37"/>
      <c r="O36" s="37"/>
      <c r="P36" s="37"/>
      <c r="Q36" t="s">
        <v>40</v>
      </c>
    </row>
    <row r="37" spans="2:17">
      <c r="B37" s="11"/>
      <c r="C37" s="37"/>
      <c r="D37" s="37"/>
      <c r="E37" s="37"/>
      <c r="F37" s="37"/>
      <c r="G37" s="37"/>
      <c r="H37" s="37"/>
      <c r="I37" s="37"/>
      <c r="J37" s="37"/>
      <c r="K37" s="37"/>
      <c r="L37" s="37"/>
      <c r="M37" s="37"/>
      <c r="N37" s="37"/>
      <c r="O37" s="37"/>
      <c r="P37" s="37"/>
      <c r="Q37" s="22" t="s">
        <v>41</v>
      </c>
    </row>
    <row r="38" spans="2:17">
      <c r="C38" s="45"/>
      <c r="D38" s="37"/>
      <c r="E38" s="37"/>
      <c r="F38" s="37"/>
      <c r="G38" s="37"/>
      <c r="H38" s="37"/>
      <c r="I38" s="37"/>
      <c r="J38" s="37"/>
      <c r="K38" s="37"/>
      <c r="L38" s="37"/>
      <c r="M38" s="37"/>
      <c r="N38" s="37"/>
      <c r="O38" s="37"/>
      <c r="P38" s="37"/>
    </row>
    <row r="39" spans="2:17">
      <c r="B39" s="11">
        <v>3</v>
      </c>
      <c r="C39" s="49" t="s">
        <v>42</v>
      </c>
      <c r="D39" s="37"/>
      <c r="E39" s="37"/>
      <c r="F39" s="37"/>
      <c r="G39" s="37"/>
      <c r="H39" s="37"/>
      <c r="I39" s="37"/>
      <c r="J39" s="37"/>
      <c r="K39" s="37"/>
      <c r="L39" s="37"/>
      <c r="M39" s="37"/>
      <c r="N39" s="37"/>
      <c r="O39" s="37"/>
      <c r="P39" s="37"/>
    </row>
    <row r="40" spans="2:17">
      <c r="B40" s="11"/>
      <c r="C40" s="49"/>
      <c r="D40" s="37"/>
      <c r="E40" s="37"/>
      <c r="F40" s="37"/>
      <c r="G40" s="37"/>
      <c r="H40" s="37"/>
      <c r="I40" s="37"/>
      <c r="J40" s="37"/>
      <c r="K40" s="37"/>
      <c r="L40" s="37"/>
      <c r="M40" s="37"/>
      <c r="N40" s="37"/>
      <c r="O40" s="37"/>
      <c r="P40" s="37"/>
    </row>
    <row r="41" spans="2:17">
      <c r="B41" s="11">
        <v>4</v>
      </c>
      <c r="C41" s="52" t="s">
        <v>43</v>
      </c>
      <c r="D41" s="37"/>
      <c r="E41" s="37" t="s">
        <v>44</v>
      </c>
      <c r="F41" s="37"/>
      <c r="G41" s="37"/>
      <c r="H41" s="37"/>
      <c r="I41" s="37"/>
      <c r="J41" s="37"/>
      <c r="K41" s="37"/>
      <c r="L41" s="37"/>
      <c r="M41" s="37"/>
      <c r="N41" s="37"/>
      <c r="O41" s="37"/>
      <c r="P41" s="37"/>
    </row>
    <row r="42" spans="2:17">
      <c r="B42" s="11"/>
      <c r="C42" s="49"/>
      <c r="D42" s="37"/>
      <c r="E42" s="37" t="s">
        <v>45</v>
      </c>
      <c r="F42" s="37"/>
      <c r="G42" s="37"/>
      <c r="H42" s="37"/>
      <c r="I42" s="37"/>
      <c r="J42" s="37"/>
      <c r="K42" s="37"/>
      <c r="L42" s="37"/>
      <c r="M42" s="37"/>
      <c r="N42" s="37"/>
      <c r="O42" s="37"/>
      <c r="P42" s="37"/>
    </row>
    <row r="43" spans="2:17">
      <c r="C43" s="48"/>
      <c r="D43" s="37"/>
      <c r="E43" s="37"/>
      <c r="F43" s="37"/>
      <c r="G43" s="37"/>
      <c r="H43" s="37"/>
      <c r="I43" s="37"/>
      <c r="J43" s="37"/>
      <c r="K43" s="37"/>
      <c r="L43" s="37"/>
      <c r="M43" s="37"/>
      <c r="N43" s="37"/>
      <c r="O43" s="37"/>
      <c r="P43" s="37"/>
    </row>
    <row r="44" spans="2:17" hidden="1">
      <c r="B44" s="11">
        <v>4</v>
      </c>
      <c r="C44" s="50" t="s">
        <v>46</v>
      </c>
      <c r="D44" s="37"/>
      <c r="E44" s="37"/>
      <c r="F44" s="37"/>
      <c r="G44" s="37"/>
      <c r="H44" s="37"/>
      <c r="I44" s="46"/>
      <c r="J44" s="37"/>
      <c r="K44" s="37"/>
      <c r="L44" s="37"/>
      <c r="M44" s="37"/>
      <c r="N44" s="37"/>
      <c r="O44" s="37"/>
      <c r="P44" s="37"/>
    </row>
    <row r="45" spans="2:17" hidden="1">
      <c r="C45" s="51" t="s">
        <v>47</v>
      </c>
      <c r="D45" s="37"/>
      <c r="E45" s="37"/>
      <c r="F45" s="37"/>
      <c r="G45" s="37"/>
      <c r="H45" s="37"/>
      <c r="I45" s="37"/>
      <c r="J45" s="37"/>
      <c r="K45" s="37"/>
      <c r="L45" s="37"/>
      <c r="M45" s="37"/>
      <c r="N45" s="37"/>
      <c r="O45" s="37"/>
      <c r="P45" s="37"/>
    </row>
    <row r="46" spans="2:17" hidden="1">
      <c r="C46" s="37"/>
      <c r="D46" s="37"/>
      <c r="E46" s="37"/>
      <c r="F46" s="37"/>
      <c r="G46" s="37"/>
      <c r="H46" s="37"/>
      <c r="I46" s="37"/>
      <c r="J46" s="37"/>
      <c r="K46" s="37"/>
      <c r="L46" s="37"/>
      <c r="M46" s="37"/>
      <c r="N46" s="37"/>
      <c r="O46" s="37"/>
      <c r="P46" s="37"/>
    </row>
    <row r="48" spans="2:17">
      <c r="I48" s="14" t="s">
        <v>48</v>
      </c>
      <c r="J48" s="21" t="s">
        <v>49</v>
      </c>
    </row>
    <row r="49" spans="3:17">
      <c r="I49" s="20" t="s">
        <v>50</v>
      </c>
      <c r="J49" s="21" t="s">
        <v>51</v>
      </c>
      <c r="L49" t="s">
        <v>52</v>
      </c>
    </row>
    <row r="50" spans="3:17">
      <c r="I50" s="20" t="s">
        <v>53</v>
      </c>
      <c r="J50" s="21" t="s">
        <v>54</v>
      </c>
    </row>
    <row r="51" spans="3:17">
      <c r="I51" s="20"/>
      <c r="J51" s="21" t="s">
        <v>55</v>
      </c>
    </row>
    <row r="52" spans="3:17">
      <c r="C52" t="s">
        <v>56</v>
      </c>
      <c r="J52" t="s">
        <v>57</v>
      </c>
      <c r="Q52" t="s">
        <v>58</v>
      </c>
    </row>
    <row r="53" spans="3:17">
      <c r="Q53" s="1" t="s">
        <v>59</v>
      </c>
    </row>
    <row r="54" spans="3:17">
      <c r="C54" t="s">
        <v>60</v>
      </c>
      <c r="I54" s="22" t="s">
        <v>61</v>
      </c>
    </row>
    <row r="55" spans="3:17">
      <c r="C55" t="s">
        <v>62</v>
      </c>
    </row>
    <row r="56" spans="3:17">
      <c r="C56" t="s">
        <v>63</v>
      </c>
    </row>
    <row r="61" spans="3:17">
      <c r="H61" t="s">
        <v>64</v>
      </c>
    </row>
    <row r="62" spans="3:17">
      <c r="H62" t="s">
        <v>65</v>
      </c>
    </row>
    <row r="63" spans="3:17">
      <c r="C63" t="s">
        <v>66</v>
      </c>
    </row>
    <row r="67" spans="3:13">
      <c r="C67" t="s">
        <v>67</v>
      </c>
      <c r="M67" s="11" t="s">
        <v>68</v>
      </c>
    </row>
    <row r="68" spans="3:13">
      <c r="C68" t="s">
        <v>69</v>
      </c>
      <c r="G68" t="s">
        <v>70</v>
      </c>
      <c r="M68" s="11" t="s">
        <v>71</v>
      </c>
    </row>
    <row r="69" spans="3:13">
      <c r="G69" s="11">
        <v>2021</v>
      </c>
      <c r="I69" t="s">
        <v>72</v>
      </c>
      <c r="M69" s="11" t="s">
        <v>73</v>
      </c>
    </row>
    <row r="70" spans="3:13">
      <c r="I70" t="s">
        <v>74</v>
      </c>
    </row>
    <row r="71" spans="3:13">
      <c r="D71" t="s">
        <v>75</v>
      </c>
      <c r="F71" t="s">
        <v>76</v>
      </c>
      <c r="I71" t="s">
        <v>77</v>
      </c>
      <c r="J71">
        <v>2022</v>
      </c>
    </row>
    <row r="72" spans="3:13">
      <c r="D72" s="20" t="s">
        <v>78</v>
      </c>
      <c r="F72" t="s">
        <v>79</v>
      </c>
    </row>
    <row r="73" spans="3:13">
      <c r="F73" t="s">
        <v>80</v>
      </c>
    </row>
    <row r="75" spans="3:13">
      <c r="D75" s="23">
        <v>1</v>
      </c>
    </row>
  </sheetData>
  <mergeCells count="9">
    <mergeCell ref="B20:B25"/>
    <mergeCell ref="C25:J25"/>
    <mergeCell ref="K20:P20"/>
    <mergeCell ref="C30:J30"/>
    <mergeCell ref="C20:J20"/>
    <mergeCell ref="C21:J21"/>
    <mergeCell ref="C22:J22"/>
    <mergeCell ref="C23:J23"/>
    <mergeCell ref="C24:J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80A4-44AA-4C57-A6AB-71A845D5A45D}">
  <dimension ref="A2:Q24"/>
  <sheetViews>
    <sheetView topLeftCell="A3" workbookViewId="0">
      <selection activeCell="B26" sqref="B26"/>
    </sheetView>
  </sheetViews>
  <sheetFormatPr defaultRowHeight="14.5"/>
  <cols>
    <col min="2" max="2" width="29.54296875" bestFit="1" customWidth="1"/>
    <col min="3" max="3" width="123" bestFit="1" customWidth="1"/>
  </cols>
  <sheetData>
    <row r="2" spans="1:17">
      <c r="A2">
        <v>1</v>
      </c>
      <c r="B2" s="115" t="s">
        <v>135</v>
      </c>
      <c r="C2" s="5" t="s">
        <v>136</v>
      </c>
    </row>
    <row r="3" spans="1:17">
      <c r="B3" s="55"/>
    </row>
    <row r="4" spans="1:17">
      <c r="A4">
        <v>2</v>
      </c>
      <c r="B4" s="115" t="s">
        <v>137</v>
      </c>
    </row>
    <row r="5" spans="1:17">
      <c r="B5" s="116" t="s">
        <v>138</v>
      </c>
      <c r="C5" s="56" t="s">
        <v>272</v>
      </c>
      <c r="F5" t="s">
        <v>139</v>
      </c>
    </row>
    <row r="6" spans="1:17">
      <c r="B6" s="116" t="s">
        <v>140</v>
      </c>
      <c r="C6" s="56" t="s">
        <v>141</v>
      </c>
    </row>
    <row r="7" spans="1:17">
      <c r="B7" s="116" t="s">
        <v>142</v>
      </c>
      <c r="C7" s="57" t="s">
        <v>143</v>
      </c>
    </row>
    <row r="8" spans="1:17">
      <c r="B8" s="112"/>
      <c r="C8" s="113"/>
    </row>
    <row r="9" spans="1:17">
      <c r="A9" s="122">
        <v>3</v>
      </c>
      <c r="B9" s="121" t="s">
        <v>144</v>
      </c>
      <c r="C9" s="56" t="s">
        <v>145</v>
      </c>
    </row>
    <row r="10" spans="1:17">
      <c r="A10" s="122"/>
      <c r="B10" s="121"/>
      <c r="C10" s="101" t="s">
        <v>146</v>
      </c>
      <c r="G10" s="11">
        <v>21</v>
      </c>
      <c r="H10" s="11"/>
      <c r="I10" s="11">
        <v>22</v>
      </c>
      <c r="J10" s="11"/>
      <c r="K10" s="11">
        <v>23</v>
      </c>
      <c r="L10" s="11"/>
      <c r="M10" s="11">
        <v>24</v>
      </c>
      <c r="N10" s="11"/>
      <c r="O10" s="11">
        <v>25</v>
      </c>
      <c r="P10" s="11"/>
      <c r="Q10" s="11">
        <v>26</v>
      </c>
    </row>
    <row r="11" spans="1:17">
      <c r="A11" s="122"/>
      <c r="B11" s="121"/>
      <c r="C11" s="101" t="s">
        <v>147</v>
      </c>
      <c r="G11" s="11"/>
      <c r="H11" s="11"/>
      <c r="I11" s="11"/>
      <c r="J11" s="11"/>
      <c r="K11" s="11"/>
      <c r="L11" s="11"/>
      <c r="M11" s="11"/>
      <c r="N11" s="11"/>
      <c r="O11" s="11"/>
      <c r="P11" s="11"/>
      <c r="Q11" s="11"/>
    </row>
    <row r="12" spans="1:17">
      <c r="A12" s="122"/>
      <c r="B12" s="121"/>
      <c r="C12" s="101" t="s">
        <v>148</v>
      </c>
      <c r="F12" s="55" t="s">
        <v>149</v>
      </c>
      <c r="G12" s="54"/>
      <c r="H12" s="5"/>
      <c r="I12" s="5"/>
      <c r="J12" s="5"/>
      <c r="K12" s="5"/>
      <c r="L12" s="5"/>
      <c r="M12" s="5"/>
      <c r="N12" s="5"/>
      <c r="O12" s="5"/>
      <c r="P12" s="5"/>
      <c r="Q12" s="5"/>
    </row>
    <row r="13" spans="1:17">
      <c r="F13" s="55" t="s">
        <v>150</v>
      </c>
      <c r="I13" s="54"/>
      <c r="J13" s="5"/>
      <c r="K13" s="5"/>
      <c r="L13" s="5"/>
      <c r="M13" s="5"/>
      <c r="O13" s="5"/>
      <c r="Q13" s="5"/>
    </row>
    <row r="14" spans="1:17">
      <c r="A14">
        <v>4</v>
      </c>
      <c r="B14" s="114" t="s">
        <v>151</v>
      </c>
      <c r="C14" s="56" t="s">
        <v>266</v>
      </c>
      <c r="D14" s="58"/>
      <c r="E14" s="58"/>
      <c r="F14" s="55" t="s">
        <v>152</v>
      </c>
      <c r="H14" s="54"/>
      <c r="I14" s="5"/>
      <c r="J14" s="5"/>
      <c r="K14" s="5"/>
      <c r="L14" s="5"/>
    </row>
    <row r="15" spans="1:17">
      <c r="C15" s="1"/>
    </row>
    <row r="16" spans="1:17">
      <c r="A16">
        <v>5</v>
      </c>
      <c r="B16" s="114" t="s">
        <v>8</v>
      </c>
      <c r="C16" s="56" t="s">
        <v>153</v>
      </c>
    </row>
    <row r="17" spans="1:17">
      <c r="O17" s="103">
        <v>45992</v>
      </c>
      <c r="Q17" s="99">
        <v>46357</v>
      </c>
    </row>
    <row r="18" spans="1:17">
      <c r="M18" s="55" t="s">
        <v>150</v>
      </c>
      <c r="O18" s="5"/>
    </row>
    <row r="19" spans="1:17">
      <c r="A19">
        <v>6</v>
      </c>
      <c r="B19" s="114" t="s">
        <v>154</v>
      </c>
      <c r="C19" s="56" t="s">
        <v>155</v>
      </c>
      <c r="O19" s="104"/>
      <c r="P19" s="104"/>
      <c r="Q19" s="104"/>
    </row>
    <row r="21" spans="1:17">
      <c r="A21">
        <v>7</v>
      </c>
      <c r="B21" s="114" t="s">
        <v>11</v>
      </c>
      <c r="C21" s="56" t="s">
        <v>207</v>
      </c>
      <c r="O21" s="103">
        <v>45658</v>
      </c>
      <c r="Q21" s="99">
        <v>46023</v>
      </c>
    </row>
    <row r="22" spans="1:17">
      <c r="M22" s="100" t="s">
        <v>152</v>
      </c>
      <c r="O22" s="5"/>
    </row>
    <row r="23" spans="1:17">
      <c r="A23">
        <v>8</v>
      </c>
      <c r="B23" s="55" t="s">
        <v>156</v>
      </c>
      <c r="C23" t="s">
        <v>157</v>
      </c>
      <c r="O23" s="104"/>
      <c r="P23" s="104"/>
    </row>
    <row r="24" spans="1:17">
      <c r="P24" s="104"/>
    </row>
  </sheetData>
  <mergeCells count="2">
    <mergeCell ref="B9:B12"/>
    <mergeCell ref="A9: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AF75-09D4-478A-B28A-5947B6617178}">
  <dimension ref="B1:R17"/>
  <sheetViews>
    <sheetView showGridLines="0" zoomScale="143" workbookViewId="0">
      <selection activeCell="C26" sqref="C26"/>
    </sheetView>
  </sheetViews>
  <sheetFormatPr defaultRowHeight="14.5"/>
  <cols>
    <col min="2" max="2" width="8.08984375" style="11" bestFit="1" customWidth="1"/>
    <col min="3" max="3" width="12.1796875" bestFit="1" customWidth="1"/>
    <col min="4" max="8" width="8.08984375" bestFit="1" customWidth="1"/>
    <col min="11" max="11" width="4.81640625" style="55" bestFit="1" customWidth="1"/>
    <col min="12" max="12" width="9.1796875" bestFit="1" customWidth="1"/>
    <col min="13" max="17" width="8.1796875" bestFit="1" customWidth="1"/>
    <col min="18" max="18" width="9.1796875" bestFit="1" customWidth="1"/>
  </cols>
  <sheetData>
    <row r="1" spans="2:18">
      <c r="B1"/>
      <c r="K1"/>
    </row>
    <row r="2" spans="2:18" s="55" customFormat="1">
      <c r="B2" s="87" t="s">
        <v>209</v>
      </c>
      <c r="C2" s="87" t="s">
        <v>210</v>
      </c>
      <c r="D2" s="87" t="s">
        <v>211</v>
      </c>
      <c r="E2" s="87" t="s">
        <v>212</v>
      </c>
      <c r="F2" s="87" t="s">
        <v>213</v>
      </c>
      <c r="G2" s="87" t="s">
        <v>214</v>
      </c>
      <c r="H2" s="87" t="s">
        <v>215</v>
      </c>
      <c r="K2" s="80"/>
      <c r="L2" s="81" t="s">
        <v>217</v>
      </c>
      <c r="M2" s="81" t="s">
        <v>218</v>
      </c>
      <c r="N2" s="86" t="s">
        <v>219</v>
      </c>
      <c r="O2" s="86" t="s">
        <v>220</v>
      </c>
      <c r="P2" s="28" t="s">
        <v>221</v>
      </c>
      <c r="Q2" s="28" t="s">
        <v>222</v>
      </c>
      <c r="R2" s="28" t="s">
        <v>223</v>
      </c>
    </row>
    <row r="3" spans="2:18">
      <c r="B3" s="88">
        <v>2025</v>
      </c>
      <c r="C3" s="89">
        <v>165630</v>
      </c>
      <c r="D3" s="90">
        <v>79116</v>
      </c>
      <c r="E3" s="90">
        <v>15237</v>
      </c>
      <c r="F3" s="88">
        <v>0</v>
      </c>
      <c r="G3" s="88">
        <v>0</v>
      </c>
      <c r="H3" s="88">
        <v>0</v>
      </c>
      <c r="K3" s="80" t="s">
        <v>210</v>
      </c>
      <c r="L3" s="79">
        <v>1840673</v>
      </c>
      <c r="M3" s="79">
        <v>838690</v>
      </c>
      <c r="N3" s="79">
        <v>497423</v>
      </c>
      <c r="O3" s="79">
        <v>328056</v>
      </c>
      <c r="P3" s="79">
        <v>234987</v>
      </c>
      <c r="Q3" s="79">
        <v>176432</v>
      </c>
      <c r="R3" s="79">
        <v>2540205</v>
      </c>
    </row>
    <row r="4" spans="2:18">
      <c r="B4" s="88">
        <v>2024</v>
      </c>
      <c r="C4" s="90">
        <v>159532</v>
      </c>
      <c r="D4" s="89">
        <v>119421</v>
      </c>
      <c r="E4" s="90">
        <v>92488</v>
      </c>
      <c r="F4" s="90">
        <v>50206</v>
      </c>
      <c r="G4" s="90">
        <v>11883</v>
      </c>
      <c r="H4" s="88">
        <v>0</v>
      </c>
      <c r="K4" s="80" t="s">
        <v>211</v>
      </c>
      <c r="L4" s="79">
        <v>1101288</v>
      </c>
      <c r="M4" s="79">
        <v>577252</v>
      </c>
      <c r="N4" s="79">
        <v>368363</v>
      </c>
      <c r="O4" s="79">
        <v>253928</v>
      </c>
      <c r="P4" s="79">
        <v>186696</v>
      </c>
      <c r="Q4" s="79">
        <v>142627</v>
      </c>
      <c r="R4" s="79">
        <v>934440</v>
      </c>
    </row>
    <row r="5" spans="2:18">
      <c r="B5" s="88">
        <v>2023</v>
      </c>
      <c r="C5" s="90">
        <v>168742</v>
      </c>
      <c r="D5" s="90">
        <v>123533</v>
      </c>
      <c r="E5" s="90">
        <v>95333</v>
      </c>
      <c r="F5" s="89">
        <v>76645</v>
      </c>
      <c r="G5" s="90">
        <v>63431</v>
      </c>
      <c r="H5" s="90">
        <v>36133</v>
      </c>
      <c r="K5" s="80" t="s">
        <v>212</v>
      </c>
      <c r="L5" s="79">
        <v>701273</v>
      </c>
      <c r="M5" s="79">
        <v>401037</v>
      </c>
      <c r="N5" s="79">
        <v>268927</v>
      </c>
      <c r="O5" s="79">
        <v>191388</v>
      </c>
      <c r="P5" s="79">
        <v>143431</v>
      </c>
      <c r="Q5" s="79">
        <v>111997</v>
      </c>
      <c r="R5" s="79">
        <v>463906</v>
      </c>
    </row>
    <row r="6" spans="2:18">
      <c r="B6" s="88">
        <v>2022</v>
      </c>
      <c r="C6" s="90">
        <v>165484</v>
      </c>
      <c r="D6" s="90">
        <v>121850</v>
      </c>
      <c r="E6" s="90">
        <v>94229</v>
      </c>
      <c r="F6" s="89">
        <v>75364</v>
      </c>
      <c r="G6" s="90">
        <v>62569</v>
      </c>
      <c r="H6" s="90">
        <v>53138</v>
      </c>
      <c r="K6" s="80" t="s">
        <v>213</v>
      </c>
      <c r="L6" s="79">
        <v>473201</v>
      </c>
      <c r="M6" s="79">
        <v>286087</v>
      </c>
      <c r="N6" s="79">
        <v>198799</v>
      </c>
      <c r="O6" s="79">
        <v>144477</v>
      </c>
      <c r="P6" s="79">
        <v>110758</v>
      </c>
      <c r="Q6" s="79">
        <v>88388</v>
      </c>
      <c r="R6" s="79">
        <v>264802</v>
      </c>
    </row>
    <row r="7" spans="2:18">
      <c r="B7" s="88">
        <v>2021</v>
      </c>
      <c r="C7" s="90">
        <v>179302</v>
      </c>
      <c r="D7" s="90">
        <v>133332</v>
      </c>
      <c r="E7" s="90">
        <v>103750</v>
      </c>
      <c r="F7" s="89">
        <v>83872</v>
      </c>
      <c r="G7" s="90">
        <v>69714</v>
      </c>
      <c r="H7" s="90">
        <v>59010</v>
      </c>
      <c r="K7" s="80" t="s">
        <v>214</v>
      </c>
      <c r="L7" s="79">
        <v>330612</v>
      </c>
      <c r="M7" s="79">
        <v>207597</v>
      </c>
      <c r="N7" s="79">
        <v>147583</v>
      </c>
      <c r="O7" s="79">
        <v>110007</v>
      </c>
      <c r="P7" s="79">
        <v>86478</v>
      </c>
      <c r="Q7" s="79">
        <v>69711</v>
      </c>
      <c r="R7" s="79">
        <v>166224</v>
      </c>
    </row>
    <row r="8" spans="2:18">
      <c r="B8" s="87" t="s">
        <v>216</v>
      </c>
      <c r="C8" s="91">
        <v>838690</v>
      </c>
      <c r="D8" s="91">
        <v>577252</v>
      </c>
      <c r="E8" s="91">
        <v>401037</v>
      </c>
      <c r="F8" s="91">
        <v>286087</v>
      </c>
      <c r="G8" s="91">
        <v>207597</v>
      </c>
      <c r="H8" s="91">
        <v>148281</v>
      </c>
      <c r="K8" s="80" t="s">
        <v>215</v>
      </c>
      <c r="L8" s="79">
        <v>230704</v>
      </c>
      <c r="M8" s="79">
        <v>148281</v>
      </c>
      <c r="N8" s="79">
        <v>108454</v>
      </c>
      <c r="O8" s="79">
        <v>82810</v>
      </c>
      <c r="P8" s="79">
        <v>65778</v>
      </c>
      <c r="Q8" s="79">
        <v>53239</v>
      </c>
      <c r="R8" s="79">
        <v>107434</v>
      </c>
    </row>
    <row r="9" spans="2:18">
      <c r="K9" s="80" t="s">
        <v>224</v>
      </c>
      <c r="L9" s="79">
        <v>356627</v>
      </c>
      <c r="M9" s="79">
        <v>82072</v>
      </c>
      <c r="N9" s="79">
        <v>31403</v>
      </c>
      <c r="O9" s="79">
        <v>14994</v>
      </c>
      <c r="P9" s="79">
        <v>8825</v>
      </c>
      <c r="Q9" s="79">
        <v>5608</v>
      </c>
      <c r="R9" s="79">
        <v>2639036</v>
      </c>
    </row>
    <row r="10" spans="2:18">
      <c r="C10" t="s">
        <v>233</v>
      </c>
    </row>
    <row r="11" spans="2:18">
      <c r="D11" s="92">
        <f>C3+D4+SUM(F5:F7)</f>
        <v>520932</v>
      </c>
    </row>
    <row r="12" spans="2:18" s="11" customFormat="1">
      <c r="K12" s="55"/>
    </row>
    <row r="13" spans="2:18">
      <c r="C13" t="s">
        <v>225</v>
      </c>
      <c r="D13" t="s">
        <v>226</v>
      </c>
    </row>
    <row r="14" spans="2:18">
      <c r="D14" t="s">
        <v>227</v>
      </c>
    </row>
    <row r="15" spans="2:18">
      <c r="D15" t="s">
        <v>228</v>
      </c>
    </row>
    <row r="17" spans="4:6">
      <c r="D17" s="82">
        <f>C3+D4+F5+F6+F7</f>
        <v>520932</v>
      </c>
      <c r="F17" s="20" t="s">
        <v>229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8EE1-8AB6-49DA-9176-F9DA68CF4A85}">
  <dimension ref="A2:O90"/>
  <sheetViews>
    <sheetView showGridLines="0" tabSelected="1" topLeftCell="A59" zoomScale="140" workbookViewId="0">
      <selection activeCell="E72" sqref="E72"/>
    </sheetView>
  </sheetViews>
  <sheetFormatPr defaultRowHeight="14.5"/>
  <cols>
    <col min="1" max="1" width="26.90625" bestFit="1" customWidth="1"/>
    <col min="2" max="2" width="31.1796875" customWidth="1"/>
    <col min="3" max="3" width="20" bestFit="1" customWidth="1"/>
    <col min="4" max="4" width="24.81640625" hidden="1" customWidth="1"/>
    <col min="5" max="5" width="18.81640625" bestFit="1" customWidth="1"/>
    <col min="6" max="6" width="21.54296875" customWidth="1"/>
    <col min="7" max="7" width="29.36328125" bestFit="1" customWidth="1"/>
    <col min="8" max="8" width="15.1796875" bestFit="1" customWidth="1"/>
    <col min="9" max="9" width="17.54296875" bestFit="1" customWidth="1"/>
    <col min="10" max="10" width="15.1796875" bestFit="1" customWidth="1"/>
    <col min="11" max="11" width="17.54296875" bestFit="1" customWidth="1"/>
  </cols>
  <sheetData>
    <row r="2" spans="2:15" ht="31">
      <c r="B2" s="24" t="s">
        <v>81</v>
      </c>
      <c r="N2" s="123" t="s">
        <v>82</v>
      </c>
      <c r="O2" s="123"/>
    </row>
    <row r="3" spans="2:15">
      <c r="N3" t="s">
        <v>83</v>
      </c>
    </row>
    <row r="4" spans="2:15" ht="23.5">
      <c r="B4" s="25" t="s">
        <v>73</v>
      </c>
      <c r="N4" t="s">
        <v>84</v>
      </c>
    </row>
    <row r="5" spans="2:15">
      <c r="N5" s="53" t="s">
        <v>85</v>
      </c>
    </row>
    <row r="6" spans="2:15">
      <c r="B6" t="s">
        <v>86</v>
      </c>
    </row>
    <row r="7" spans="2:15">
      <c r="B7" s="26"/>
    </row>
    <row r="8" spans="2:15">
      <c r="B8" s="26" t="s">
        <v>87</v>
      </c>
    </row>
    <row r="9" spans="2:15">
      <c r="B9" s="26" t="s">
        <v>88</v>
      </c>
    </row>
    <row r="10" spans="2:15">
      <c r="B10" s="27" t="s">
        <v>89</v>
      </c>
      <c r="C10" s="21"/>
      <c r="D10" s="21"/>
      <c r="E10" s="21"/>
      <c r="G10" s="5" t="s">
        <v>90</v>
      </c>
    </row>
    <row r="12" spans="2:15">
      <c r="B12" t="s">
        <v>91</v>
      </c>
    </row>
    <row r="16" spans="2:15" ht="23.5">
      <c r="B16" s="25" t="s">
        <v>71</v>
      </c>
    </row>
    <row r="18" spans="2:7">
      <c r="B18" t="s">
        <v>92</v>
      </c>
    </row>
    <row r="19" spans="2:7">
      <c r="B19" s="26"/>
    </row>
    <row r="20" spans="2:7">
      <c r="B20" s="26" t="s">
        <v>93</v>
      </c>
    </row>
    <row r="21" spans="2:7">
      <c r="B21" s="26" t="s">
        <v>94</v>
      </c>
    </row>
    <row r="23" spans="2:7">
      <c r="B23" t="s">
        <v>95</v>
      </c>
    </row>
    <row r="27" spans="2:7" ht="23.5">
      <c r="B27" s="25" t="s">
        <v>96</v>
      </c>
    </row>
    <row r="29" spans="2:7">
      <c r="B29" t="s">
        <v>97</v>
      </c>
    </row>
    <row r="30" spans="2:7">
      <c r="B30" s="26"/>
    </row>
    <row r="31" spans="2:7">
      <c r="B31" s="26" t="s">
        <v>94</v>
      </c>
    </row>
    <row r="32" spans="2:7">
      <c r="B32" s="27" t="s">
        <v>98</v>
      </c>
      <c r="C32" s="21"/>
      <c r="G32" s="5" t="s">
        <v>99</v>
      </c>
    </row>
    <row r="33" spans="2:4">
      <c r="B33" s="26" t="s">
        <v>93</v>
      </c>
    </row>
    <row r="35" spans="2:4">
      <c r="B35" t="s">
        <v>100</v>
      </c>
    </row>
    <row r="37" spans="2:4">
      <c r="B37" s="14" t="s">
        <v>101</v>
      </c>
    </row>
    <row r="39" spans="2:4">
      <c r="B39" s="32" t="s">
        <v>73</v>
      </c>
    </row>
    <row r="41" spans="2:4">
      <c r="B41" s="12" t="s">
        <v>102</v>
      </c>
      <c r="C41" s="12" t="s">
        <v>103</v>
      </c>
      <c r="D41" s="12" t="s">
        <v>104</v>
      </c>
    </row>
    <row r="42" spans="2:4">
      <c r="B42" s="30" t="s">
        <v>105</v>
      </c>
      <c r="C42" s="30" t="s">
        <v>106</v>
      </c>
      <c r="D42" s="30" t="s">
        <v>107</v>
      </c>
    </row>
    <row r="43" spans="2:4">
      <c r="B43" s="30" t="s">
        <v>108</v>
      </c>
      <c r="C43" s="30" t="s">
        <v>106</v>
      </c>
      <c r="D43" s="30" t="s">
        <v>109</v>
      </c>
    </row>
    <row r="44" spans="2:4">
      <c r="B44" s="31" t="s">
        <v>106</v>
      </c>
      <c r="C44" s="31" t="s">
        <v>110</v>
      </c>
      <c r="D44" s="31" t="s">
        <v>111</v>
      </c>
    </row>
    <row r="45" spans="2:4">
      <c r="B45" s="29" t="s">
        <v>106</v>
      </c>
      <c r="C45" s="29" t="s">
        <v>112</v>
      </c>
      <c r="D45" s="29" t="s">
        <v>113</v>
      </c>
    </row>
    <row r="46" spans="2:4">
      <c r="B46" s="29" t="s">
        <v>106</v>
      </c>
      <c r="C46" s="29" t="s">
        <v>114</v>
      </c>
      <c r="D46" s="29" t="s">
        <v>115</v>
      </c>
    </row>
    <row r="47" spans="2:4">
      <c r="B47" s="29" t="s">
        <v>106</v>
      </c>
      <c r="C47" s="29" t="s">
        <v>116</v>
      </c>
      <c r="D47" s="29" t="s">
        <v>117</v>
      </c>
    </row>
    <row r="50" spans="1:7">
      <c r="B50" s="32" t="s">
        <v>68</v>
      </c>
    </row>
    <row r="52" spans="1:7">
      <c r="B52" s="28" t="s">
        <v>102</v>
      </c>
      <c r="C52" s="28" t="s">
        <v>103</v>
      </c>
      <c r="D52" s="28" t="s">
        <v>104</v>
      </c>
    </row>
    <row r="53" spans="1:7">
      <c r="B53" s="35" t="s">
        <v>93</v>
      </c>
      <c r="C53" s="35" t="s">
        <v>106</v>
      </c>
      <c r="D53" s="35" t="s">
        <v>118</v>
      </c>
    </row>
    <row r="54" spans="1:7">
      <c r="B54" s="33" t="s">
        <v>106</v>
      </c>
      <c r="C54" s="33" t="s">
        <v>119</v>
      </c>
      <c r="D54" s="33" t="s">
        <v>120</v>
      </c>
    </row>
    <row r="55" spans="1:7">
      <c r="B55" s="34" t="s">
        <v>119</v>
      </c>
      <c r="C55" s="34" t="s">
        <v>106</v>
      </c>
      <c r="D55" s="34" t="s">
        <v>121</v>
      </c>
    </row>
    <row r="56" spans="1:7" ht="29">
      <c r="B56" s="33" t="s">
        <v>106</v>
      </c>
      <c r="C56" s="33" t="s">
        <v>122</v>
      </c>
      <c r="D56" s="33" t="s">
        <v>123</v>
      </c>
    </row>
    <row r="57" spans="1:7">
      <c r="B57" s="33" t="s">
        <v>106</v>
      </c>
      <c r="C57" s="33" t="s">
        <v>124</v>
      </c>
      <c r="D57" s="33" t="s">
        <v>125</v>
      </c>
    </row>
    <row r="59" spans="1:7" s="85" customFormat="1"/>
    <row r="60" spans="1:7">
      <c r="D60" s="55"/>
    </row>
    <row r="61" spans="1:7">
      <c r="A61" s="84" t="s">
        <v>231</v>
      </c>
      <c r="B61" s="83" t="s">
        <v>256</v>
      </c>
      <c r="F61" s="84" t="s">
        <v>231</v>
      </c>
      <c r="G61" s="83" t="s">
        <v>256</v>
      </c>
    </row>
    <row r="62" spans="1:7" ht="43.5">
      <c r="A62" s="108" t="s">
        <v>232</v>
      </c>
      <c r="B62" s="83" t="s">
        <v>274</v>
      </c>
      <c r="C62" s="55"/>
      <c r="D62" t="s">
        <v>277</v>
      </c>
      <c r="F62" s="108" t="s">
        <v>232</v>
      </c>
      <c r="G62" s="83" t="s">
        <v>273</v>
      </c>
    </row>
    <row r="63" spans="1:7">
      <c r="D63" s="1" t="s">
        <v>275</v>
      </c>
    </row>
    <row r="64" spans="1:7">
      <c r="B64" s="98" t="s">
        <v>276</v>
      </c>
      <c r="E64" s="69" t="s">
        <v>189</v>
      </c>
      <c r="G64" s="69" t="s">
        <v>190</v>
      </c>
    </row>
    <row r="65" spans="1:11" ht="15" thickBot="1">
      <c r="B65" s="59" t="s">
        <v>182</v>
      </c>
      <c r="C65" s="73" t="s">
        <v>192</v>
      </c>
      <c r="D65" s="73" t="s">
        <v>191</v>
      </c>
      <c r="E65" s="73" t="s">
        <v>188</v>
      </c>
      <c r="F65" s="73" t="s">
        <v>127</v>
      </c>
      <c r="G65" s="73" t="s">
        <v>183</v>
      </c>
    </row>
    <row r="66" spans="1:11" ht="22.5">
      <c r="A66" s="20"/>
      <c r="B66" s="109" t="s">
        <v>184</v>
      </c>
      <c r="C66" s="60"/>
      <c r="D66" s="61"/>
      <c r="E66" s="60"/>
      <c r="F66" s="60"/>
      <c r="G66" s="62"/>
    </row>
    <row r="67" spans="1:11" ht="22.5">
      <c r="A67" s="20"/>
      <c r="B67" s="110" t="s">
        <v>185</v>
      </c>
      <c r="C67" s="64"/>
      <c r="D67" s="63"/>
      <c r="E67" s="64"/>
      <c r="F67" s="105" t="s">
        <v>267</v>
      </c>
      <c r="G67" s="65"/>
    </row>
    <row r="68" spans="1:11" ht="40">
      <c r="B68" s="110" t="s">
        <v>186</v>
      </c>
      <c r="C68" s="64"/>
      <c r="D68" s="63"/>
      <c r="E68" s="64"/>
      <c r="F68" s="106" t="s">
        <v>269</v>
      </c>
      <c r="G68" s="65"/>
      <c r="I68" s="20"/>
      <c r="J68" s="20"/>
    </row>
    <row r="69" spans="1:11" ht="30">
      <c r="B69" s="111" t="s">
        <v>187</v>
      </c>
      <c r="C69" s="67"/>
      <c r="D69" s="66"/>
      <c r="E69" s="67"/>
      <c r="F69" s="106" t="s">
        <v>268</v>
      </c>
      <c r="G69" s="68"/>
      <c r="I69" s="20"/>
      <c r="J69" s="20"/>
    </row>
    <row r="70" spans="1:11">
      <c r="K70" s="14" t="s">
        <v>205</v>
      </c>
    </row>
    <row r="71" spans="1:11">
      <c r="F71" s="1"/>
      <c r="K71" s="14"/>
    </row>
    <row r="72" spans="1:11">
      <c r="F72" s="1"/>
      <c r="K72" s="76" t="s">
        <v>202</v>
      </c>
    </row>
    <row r="73" spans="1:11">
      <c r="B73" s="70" t="s">
        <v>126</v>
      </c>
      <c r="C73" s="71" t="s">
        <v>230</v>
      </c>
      <c r="K73" s="77" t="s">
        <v>203</v>
      </c>
    </row>
    <row r="74" spans="1:11">
      <c r="E74" s="69" t="s">
        <v>189</v>
      </c>
      <c r="G74" s="69" t="s">
        <v>190</v>
      </c>
      <c r="K74" s="76" t="s">
        <v>204</v>
      </c>
    </row>
    <row r="75" spans="1:11">
      <c r="B75" s="72" t="s">
        <v>182</v>
      </c>
      <c r="C75" s="73" t="s">
        <v>192</v>
      </c>
      <c r="D75" s="73" t="s">
        <v>191</v>
      </c>
      <c r="E75" s="73" t="s">
        <v>188</v>
      </c>
      <c r="F75" s="73" t="s">
        <v>127</v>
      </c>
      <c r="G75" s="73" t="s">
        <v>183</v>
      </c>
    </row>
    <row r="76" spans="1:11">
      <c r="B76" s="74" t="s">
        <v>201</v>
      </c>
      <c r="C76" s="74">
        <v>1</v>
      </c>
      <c r="D76" s="75" t="s">
        <v>193</v>
      </c>
      <c r="E76" s="74">
        <v>1</v>
      </c>
      <c r="F76" s="74">
        <v>1</v>
      </c>
      <c r="G76" s="74">
        <v>1</v>
      </c>
    </row>
    <row r="77" spans="1:11">
      <c r="B77" s="74" t="s">
        <v>128</v>
      </c>
      <c r="C77" s="74">
        <v>1</v>
      </c>
      <c r="D77" s="75" t="s">
        <v>193</v>
      </c>
      <c r="E77" s="74">
        <v>1</v>
      </c>
      <c r="F77" s="74">
        <v>1</v>
      </c>
      <c r="G77" s="74">
        <v>1</v>
      </c>
    </row>
    <row r="78" spans="1:11">
      <c r="B78" s="74" t="s">
        <v>129</v>
      </c>
      <c r="C78" s="74">
        <v>1</v>
      </c>
      <c r="D78" s="74">
        <v>0</v>
      </c>
      <c r="E78" s="74">
        <v>1</v>
      </c>
      <c r="F78" s="74">
        <v>0</v>
      </c>
      <c r="G78" s="74">
        <v>1</v>
      </c>
    </row>
    <row r="79" spans="1:11">
      <c r="B79" s="74" t="s">
        <v>130</v>
      </c>
      <c r="C79" s="74">
        <v>1</v>
      </c>
      <c r="D79" s="74">
        <v>0</v>
      </c>
      <c r="E79" s="74">
        <v>1</v>
      </c>
      <c r="F79" s="75" t="s">
        <v>206</v>
      </c>
      <c r="G79" s="74">
        <v>1</v>
      </c>
    </row>
    <row r="80" spans="1:11">
      <c r="B80" s="74" t="s">
        <v>194</v>
      </c>
      <c r="C80" s="74">
        <v>1</v>
      </c>
      <c r="D80" s="74">
        <v>0</v>
      </c>
      <c r="E80" s="74">
        <v>1</v>
      </c>
      <c r="F80" s="74">
        <v>0</v>
      </c>
      <c r="G80" s="74">
        <v>1</v>
      </c>
    </row>
    <row r="81" spans="2:7">
      <c r="B81" s="74" t="s">
        <v>131</v>
      </c>
      <c r="C81" s="74">
        <v>1</v>
      </c>
      <c r="D81" s="74">
        <v>0</v>
      </c>
      <c r="E81" s="74">
        <v>1</v>
      </c>
      <c r="F81" s="78" t="s">
        <v>208</v>
      </c>
      <c r="G81" s="74">
        <v>1</v>
      </c>
    </row>
    <row r="82" spans="2:7">
      <c r="B82" s="74" t="s">
        <v>132</v>
      </c>
      <c r="C82" s="74">
        <v>1</v>
      </c>
      <c r="D82" s="74">
        <v>0</v>
      </c>
      <c r="E82" s="74">
        <v>1</v>
      </c>
      <c r="F82" s="74">
        <v>0</v>
      </c>
      <c r="G82" s="74">
        <v>1</v>
      </c>
    </row>
    <row r="83" spans="2:7">
      <c r="B83" s="74" t="s">
        <v>134</v>
      </c>
      <c r="C83" s="74">
        <v>1</v>
      </c>
      <c r="D83" s="74">
        <v>0</v>
      </c>
      <c r="E83" s="74">
        <v>1</v>
      </c>
      <c r="F83" s="74">
        <v>0</v>
      </c>
      <c r="G83" s="74">
        <v>1</v>
      </c>
    </row>
    <row r="84" spans="2:7">
      <c r="B84" s="74" t="s">
        <v>133</v>
      </c>
      <c r="C84" s="74">
        <v>1</v>
      </c>
      <c r="D84" s="74">
        <v>0</v>
      </c>
      <c r="E84" s="74">
        <v>1</v>
      </c>
      <c r="F84" s="78" t="s">
        <v>206</v>
      </c>
      <c r="G84" s="74">
        <v>1</v>
      </c>
    </row>
    <row r="85" spans="2:7">
      <c r="B85" s="74" t="s">
        <v>195</v>
      </c>
      <c r="C85" s="74">
        <v>1</v>
      </c>
      <c r="D85" s="74">
        <v>0</v>
      </c>
      <c r="E85" s="74">
        <v>1</v>
      </c>
      <c r="F85" s="74">
        <v>0</v>
      </c>
      <c r="G85" s="74">
        <v>1</v>
      </c>
    </row>
    <row r="86" spans="2:7">
      <c r="B86" s="74" t="s">
        <v>196</v>
      </c>
      <c r="C86" s="74">
        <v>1</v>
      </c>
      <c r="D86" s="74">
        <v>0</v>
      </c>
      <c r="E86" s="74">
        <v>1</v>
      </c>
      <c r="F86" s="74">
        <v>0</v>
      </c>
      <c r="G86" s="74">
        <v>1</v>
      </c>
    </row>
    <row r="87" spans="2:7">
      <c r="B87" s="74" t="s">
        <v>197</v>
      </c>
      <c r="C87" s="74">
        <v>1</v>
      </c>
      <c r="D87" s="74">
        <v>0</v>
      </c>
      <c r="E87" s="74">
        <v>1</v>
      </c>
      <c r="F87" s="74">
        <v>0</v>
      </c>
      <c r="G87" s="74">
        <v>1</v>
      </c>
    </row>
    <row r="88" spans="2:7">
      <c r="B88" s="74" t="s">
        <v>198</v>
      </c>
      <c r="C88" s="74">
        <v>1</v>
      </c>
      <c r="D88" s="74">
        <v>0</v>
      </c>
      <c r="E88" s="74">
        <v>1</v>
      </c>
      <c r="F88" s="74">
        <v>0</v>
      </c>
      <c r="G88" s="74">
        <v>1</v>
      </c>
    </row>
    <row r="89" spans="2:7">
      <c r="B89" s="74" t="s">
        <v>199</v>
      </c>
      <c r="C89" s="74">
        <v>1</v>
      </c>
      <c r="D89" s="74">
        <v>0</v>
      </c>
      <c r="E89" s="74">
        <v>1</v>
      </c>
      <c r="F89" s="78" t="s">
        <v>206</v>
      </c>
      <c r="G89" s="74">
        <v>1</v>
      </c>
    </row>
    <row r="90" spans="2:7">
      <c r="B90" s="74" t="s">
        <v>200</v>
      </c>
      <c r="C90" s="74">
        <v>1</v>
      </c>
      <c r="D90" s="74">
        <v>0</v>
      </c>
      <c r="E90" s="74">
        <v>1</v>
      </c>
      <c r="F90" s="74">
        <v>0</v>
      </c>
      <c r="G90" s="74">
        <v>1</v>
      </c>
    </row>
  </sheetData>
  <mergeCells count="1">
    <mergeCell ref="N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59ADC-DBDA-4C0F-A8A1-875378B05FA7}">
  <sheetPr>
    <tabColor rgb="FFFFFF00"/>
  </sheetPr>
  <dimension ref="A2:J69"/>
  <sheetViews>
    <sheetView topLeftCell="E1" workbookViewId="0">
      <selection activeCell="F62" sqref="F62"/>
    </sheetView>
  </sheetViews>
  <sheetFormatPr defaultRowHeight="14.5"/>
  <cols>
    <col min="2" max="2" width="31.1796875" customWidth="1"/>
    <col min="3" max="3" width="25.1796875" bestFit="1" customWidth="1"/>
    <col min="4" max="4" width="25.1796875" customWidth="1"/>
    <col min="6" max="6" width="21.54296875" customWidth="1"/>
    <col min="7" max="7" width="44" bestFit="1" customWidth="1"/>
    <col min="8" max="8" width="10.36328125" style="11" bestFit="1" customWidth="1"/>
  </cols>
  <sheetData>
    <row r="2" spans="2:10">
      <c r="B2" t="s">
        <v>234</v>
      </c>
      <c r="C2" s="5" t="s">
        <v>235</v>
      </c>
    </row>
    <row r="3" spans="2:10">
      <c r="C3" s="5" t="s">
        <v>236</v>
      </c>
      <c r="G3" s="14" t="s">
        <v>247</v>
      </c>
    </row>
    <row r="4" spans="2:10">
      <c r="C4" s="5" t="s">
        <v>237</v>
      </c>
    </row>
    <row r="5" spans="2:10">
      <c r="C5" s="21" t="s">
        <v>238</v>
      </c>
      <c r="F5" s="14">
        <v>1</v>
      </c>
      <c r="G5" s="98" t="s">
        <v>236</v>
      </c>
    </row>
    <row r="7" spans="2:10">
      <c r="B7" t="s">
        <v>253</v>
      </c>
      <c r="C7" s="5" t="s">
        <v>254</v>
      </c>
      <c r="G7" t="s">
        <v>239</v>
      </c>
      <c r="H7" s="93">
        <v>234347</v>
      </c>
      <c r="J7" s="96"/>
    </row>
    <row r="8" spans="2:10">
      <c r="C8" s="37" t="s">
        <v>261</v>
      </c>
      <c r="D8" s="124" t="s">
        <v>262</v>
      </c>
      <c r="G8" t="s">
        <v>241</v>
      </c>
      <c r="H8" s="93">
        <v>187236</v>
      </c>
      <c r="J8" s="96"/>
    </row>
    <row r="9" spans="2:10">
      <c r="C9" s="37" t="s">
        <v>263</v>
      </c>
      <c r="D9" s="124"/>
      <c r="G9" s="94" t="s">
        <v>240</v>
      </c>
      <c r="H9" s="93">
        <f>H7-H8</f>
        <v>47111</v>
      </c>
    </row>
    <row r="10" spans="2:10">
      <c r="C10" s="5" t="s">
        <v>264</v>
      </c>
    </row>
    <row r="11" spans="2:10">
      <c r="C11" s="21" t="s">
        <v>255</v>
      </c>
    </row>
    <row r="12" spans="2:10">
      <c r="F12" s="118" t="s">
        <v>244</v>
      </c>
      <c r="G12" t="s">
        <v>243</v>
      </c>
      <c r="H12" s="95">
        <v>44197</v>
      </c>
    </row>
    <row r="13" spans="2:10">
      <c r="B13" t="s">
        <v>265</v>
      </c>
      <c r="C13" s="21" t="s">
        <v>255</v>
      </c>
      <c r="F13" s="118"/>
      <c r="G13" t="s">
        <v>242</v>
      </c>
      <c r="H13" s="95">
        <v>45748</v>
      </c>
    </row>
    <row r="15" spans="2:10">
      <c r="G15" t="s">
        <v>245</v>
      </c>
      <c r="H15" s="93">
        <v>25636</v>
      </c>
    </row>
    <row r="17" spans="6:8">
      <c r="G17" s="97" t="s">
        <v>246</v>
      </c>
      <c r="H17" s="102">
        <v>161600</v>
      </c>
    </row>
    <row r="20" spans="6:8">
      <c r="F20" s="14">
        <v>2</v>
      </c>
      <c r="G20" s="98" t="s">
        <v>248</v>
      </c>
    </row>
    <row r="23" spans="6:8">
      <c r="G23" s="5" t="s">
        <v>249</v>
      </c>
    </row>
    <row r="24" spans="6:8">
      <c r="G24" t="s">
        <v>250</v>
      </c>
    </row>
    <row r="25" spans="6:8">
      <c r="G25" t="s">
        <v>251</v>
      </c>
    </row>
    <row r="26" spans="6:8">
      <c r="G26" t="s">
        <v>252</v>
      </c>
    </row>
    <row r="29" spans="6:8" ht="13.75" customHeight="1">
      <c r="F29" s="14">
        <v>3</v>
      </c>
      <c r="G29" s="98" t="s">
        <v>257</v>
      </c>
    </row>
    <row r="31" spans="6:8">
      <c r="G31" t="s">
        <v>258</v>
      </c>
    </row>
    <row r="32" spans="6:8">
      <c r="G32" s="100" t="s">
        <v>260</v>
      </c>
    </row>
    <row r="39" spans="7:7">
      <c r="G39" t="s">
        <v>259</v>
      </c>
    </row>
    <row r="62" spans="1:8">
      <c r="A62" s="9"/>
      <c r="B62" s="9" t="s">
        <v>271</v>
      </c>
      <c r="F62" s="10"/>
      <c r="G62" t="s">
        <v>270</v>
      </c>
    </row>
    <row r="63" spans="1:8">
      <c r="H63"/>
    </row>
    <row r="68" spans="6:6" ht="58">
      <c r="F68" s="107" t="s">
        <v>269</v>
      </c>
    </row>
    <row r="69" spans="6:6">
      <c r="F69" t="s">
        <v>268</v>
      </c>
    </row>
  </sheetData>
  <mergeCells count="2">
    <mergeCell ref="F12:F13"/>
    <mergeCell ref="D8:D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BD90-757F-4E55-BF6A-B18A345BF30A}">
  <sheetPr>
    <tabColor rgb="FFFF0000"/>
  </sheetPr>
  <dimension ref="A1"/>
  <sheetViews>
    <sheetView workbookViewId="0">
      <selection activeCell="H30" sqref="H30"/>
    </sheetView>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269-BB57-4B0E-8E78-882413F79D8C}">
  <dimension ref="B2:H12"/>
  <sheetViews>
    <sheetView zoomScale="90" workbookViewId="0">
      <selection activeCell="G10" sqref="G10"/>
    </sheetView>
  </sheetViews>
  <sheetFormatPr defaultRowHeight="14.5"/>
  <cols>
    <col min="3" max="3" width="11.90625" bestFit="1" customWidth="1"/>
    <col min="4" max="4" width="13.36328125" bestFit="1" customWidth="1"/>
    <col min="5" max="5" width="29.36328125" bestFit="1" customWidth="1"/>
    <col min="6" max="6" width="16" bestFit="1" customWidth="1"/>
    <col min="7" max="7" width="39.36328125" customWidth="1"/>
  </cols>
  <sheetData>
    <row r="2" spans="2:8" ht="14.4" customHeight="1">
      <c r="B2" s="9"/>
      <c r="C2" s="125" t="s">
        <v>158</v>
      </c>
      <c r="D2" s="125"/>
      <c r="E2" s="9"/>
      <c r="F2" s="9"/>
      <c r="G2" s="9"/>
    </row>
    <row r="3" spans="2:8" ht="26" customHeight="1">
      <c r="B3" s="118" t="s">
        <v>159</v>
      </c>
      <c r="C3" s="118"/>
      <c r="D3" s="118"/>
      <c r="F3" s="9"/>
      <c r="G3" s="9"/>
    </row>
    <row r="4" spans="2:8" ht="51.65" customHeight="1">
      <c r="B4" s="9"/>
      <c r="C4" s="10">
        <v>1</v>
      </c>
      <c r="D4" s="126" t="s">
        <v>160</v>
      </c>
      <c r="E4" s="126"/>
      <c r="F4" s="12" t="s">
        <v>161</v>
      </c>
      <c r="G4" s="13" t="s">
        <v>162</v>
      </c>
    </row>
    <row r="5" spans="2:8" ht="51.65" customHeight="1">
      <c r="B5" s="9"/>
      <c r="C5" s="10">
        <v>2</v>
      </c>
      <c r="D5" s="15" t="s">
        <v>8</v>
      </c>
      <c r="E5" s="126" t="s">
        <v>163</v>
      </c>
      <c r="F5" s="126"/>
      <c r="G5" s="126"/>
      <c r="H5" s="10" t="s">
        <v>164</v>
      </c>
    </row>
    <row r="6" spans="2:8" ht="51.65" customHeight="1">
      <c r="B6" s="9"/>
      <c r="C6" s="9"/>
      <c r="D6" s="9"/>
      <c r="E6" s="9"/>
      <c r="F6" s="9"/>
      <c r="G6" s="9"/>
    </row>
    <row r="7" spans="2:8">
      <c r="B7" s="9"/>
      <c r="C7" s="9" t="s">
        <v>165</v>
      </c>
      <c r="D7" s="16" t="s">
        <v>166</v>
      </c>
      <c r="E7" s="16" t="s">
        <v>167</v>
      </c>
      <c r="F7" s="16" t="s">
        <v>168</v>
      </c>
      <c r="G7" s="9"/>
    </row>
    <row r="11" spans="2:8">
      <c r="E11" t="s">
        <v>169</v>
      </c>
      <c r="F11" s="14" t="s">
        <v>135</v>
      </c>
    </row>
    <row r="12" spans="2:8">
      <c r="E12" t="s">
        <v>170</v>
      </c>
      <c r="F12" s="14" t="s">
        <v>171</v>
      </c>
    </row>
  </sheetData>
  <mergeCells count="4">
    <mergeCell ref="C2:D2"/>
    <mergeCell ref="D4:E4"/>
    <mergeCell ref="E5:G5"/>
    <mergeCell ref="B3:D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5DF2-3CBB-4FBE-9B9C-B0726150B4A3}">
  <dimension ref="B2:C10"/>
  <sheetViews>
    <sheetView workbookViewId="0">
      <selection activeCell="E1" sqref="E1"/>
    </sheetView>
  </sheetViews>
  <sheetFormatPr defaultRowHeight="14.5"/>
  <cols>
    <col min="2" max="2" width="13.36328125" bestFit="1" customWidth="1"/>
    <col min="3" max="3" width="39.08984375" bestFit="1" customWidth="1"/>
  </cols>
  <sheetData>
    <row r="2" spans="2:3">
      <c r="C2" t="s">
        <v>172</v>
      </c>
    </row>
    <row r="3" spans="2:3">
      <c r="B3" t="s">
        <v>173</v>
      </c>
      <c r="C3" t="s">
        <v>174</v>
      </c>
    </row>
    <row r="4" spans="2:3">
      <c r="C4" s="14" t="s">
        <v>175</v>
      </c>
    </row>
    <row r="5" spans="2:3">
      <c r="C5" t="s">
        <v>176</v>
      </c>
    </row>
    <row r="6" spans="2:3">
      <c r="C6" t="s">
        <v>177</v>
      </c>
    </row>
    <row r="7" spans="2:3">
      <c r="C7" t="s">
        <v>178</v>
      </c>
    </row>
    <row r="8" spans="2:3">
      <c r="C8" t="s">
        <v>179</v>
      </c>
    </row>
    <row r="9" spans="2:3">
      <c r="C9" t="s">
        <v>180</v>
      </c>
    </row>
    <row r="10" spans="2:3">
      <c r="C10" t="s">
        <v>181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B7998E3C7CDA438518497C009C8CBB" ma:contentTypeVersion="14" ma:contentTypeDescription="Create a new document." ma:contentTypeScope="" ma:versionID="caf9846270c5f4737ab9536b4740cef5">
  <xsd:schema xmlns:xsd="http://www.w3.org/2001/XMLSchema" xmlns:xs="http://www.w3.org/2001/XMLSchema" xmlns:p="http://schemas.microsoft.com/office/2006/metadata/properties" xmlns:ns2="d27f2b32-028d-4df9-b5fa-80b8d926899c" xmlns:ns3="13bb79df-1dc9-4ca5-93dd-c8d994efeaa3" targetNamespace="http://schemas.microsoft.com/office/2006/metadata/properties" ma:root="true" ma:fieldsID="a6045bbc2f6a78a23916139c2e0d790c" ns2:_="" ns3:_="">
    <xsd:import namespace="d27f2b32-028d-4df9-b5fa-80b8d926899c"/>
    <xsd:import namespace="13bb79df-1dc9-4ca5-93dd-c8d994efeaa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f2b32-028d-4df9-b5fa-80b8d92689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89b0c0-4dea-49c6-8d57-4e6bc3aaa8c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bb79df-1dc9-4ca5-93dd-c8d994efeaa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99729c6-1f73-41f8-9eb4-50cf9979b184}" ma:internalName="TaxCatchAll" ma:showField="CatchAllData" ma:web="13bb79df-1dc9-4ca5-93dd-c8d994efea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7f2b32-028d-4df9-b5fa-80b8d926899c">
      <Terms xmlns="http://schemas.microsoft.com/office/infopath/2007/PartnerControls"/>
    </lcf76f155ced4ddcb4097134ff3c332f>
    <TaxCatchAll xmlns="13bb79df-1dc9-4ca5-93dd-c8d994efea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3C6940-5454-4C75-8E7A-B424435102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f2b32-028d-4df9-b5fa-80b8d926899c"/>
    <ds:schemaRef ds:uri="13bb79df-1dc9-4ca5-93dd-c8d994efea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871255-33E2-4488-9D70-56CE1FE681C4}">
  <ds:schemaRefs>
    <ds:schemaRef ds:uri="http://purl.org/dc/elements/1.1/"/>
    <ds:schemaRef ds:uri="http://purl.org/dc/dcmitype/"/>
    <ds:schemaRef ds:uri="13bb79df-1dc9-4ca5-93dd-c8d994efeaa3"/>
    <ds:schemaRef ds:uri="http://purl.org/dc/terms/"/>
    <ds:schemaRef ds:uri="http://schemas.microsoft.com/office/infopath/2007/PartnerControls"/>
    <ds:schemaRef ds:uri="http://schemas.microsoft.com/office/2006/documentManagement/types"/>
    <ds:schemaRef ds:uri="d27f2b32-028d-4df9-b5fa-80b8d926899c"/>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98E5492-6A84-432B-B752-2B2DF12025E7}">
  <ds:schemaRefs>
    <ds:schemaRef ds:uri="http://schemas.microsoft.com/sharepoint/v3/contenttype/forms"/>
  </ds:schemaRefs>
</ds:datastoreItem>
</file>

<file path=docMetadata/LabelInfo.xml><?xml version="1.0" encoding="utf-8"?>
<clbl:labelList xmlns:clbl="http://schemas.microsoft.com/office/2020/mipLabelMetadata">
  <clbl:label id="{40fc6179-cf92-4f92-9433-e720ff626f56}" enabled="0" method="" siteId="{40fc6179-cf92-4f92-9433-e720ff626f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Problem Statement Breakdown</vt:lpstr>
      <vt:lpstr>Steps</vt:lpstr>
      <vt:lpstr>Stable Patients finalization</vt:lpstr>
      <vt:lpstr>Referrals Grid</vt:lpstr>
      <vt:lpstr>Execution Logs</vt:lpstr>
      <vt:lpstr>Appendix</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Tushar Verma</dc:creator>
  <cp:keywords/>
  <dc:description/>
  <cp:lastModifiedBy>Rijul Tandon</cp:lastModifiedBy>
  <cp:revision/>
  <dcterms:created xsi:type="dcterms:W3CDTF">2015-06-05T18:17:20Z</dcterms:created>
  <dcterms:modified xsi:type="dcterms:W3CDTF">2026-06-19T13:03:26Z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0x01010079B7998E3C7CDA438518497C009C8CBB</vt:lpwstr>
  </property>
  <property fmtid="{D5CDD505-2E9C-101B-9397-08002B2CF9AE}" pid="3" name="MediaServiceImageTags">
    <vt:lpwstr/>
  </property>
</Properties>
</file>